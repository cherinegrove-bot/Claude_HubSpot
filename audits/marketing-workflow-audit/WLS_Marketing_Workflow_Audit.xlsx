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Overview" sheetId="1" state="visible" r:id="rId1"/>
    <sheet xmlns:r="http://schemas.openxmlformats.org/officeDocument/2006/relationships" name="Detailed Action Map" sheetId="2" state="visible" r:id="rId2"/>
    <sheet xmlns:r="http://schemas.openxmlformats.org/officeDocument/2006/relationships" name="Task &amp; Subtask Logic" sheetId="3" state="visible" r:id="rId3"/>
    <sheet xmlns:r="http://schemas.openxmlformats.org/officeDocument/2006/relationships" name="Workflow Inventory" sheetId="4" state="visible" r:id="rId4"/>
    <sheet xmlns:r="http://schemas.openxmlformats.org/officeDocument/2006/relationships" name="Audit Findings" sheetId="5" state="visible" r:id="rId5"/>
  </sheets>
  <definedNames>
    <definedName name="_xlnm._FilterDatabase" localSheetId="0" hidden="1">'Process Overview'!$A$1:$G$61</definedName>
    <definedName name="_xlnm._FilterDatabase" localSheetId="1" hidden="1">'Detailed Action Map'!$A$1:$S$90</definedName>
    <definedName name="_xlnm._FilterDatabase" localSheetId="2" hidden="1">'Task &amp; Subtask Logic'!$A$1:$Q$25</definedName>
    <definedName name="_xlnm._FilterDatabase" localSheetId="3" hidden="1">'Workflow Inventory'!$A$1:$K$4</definedName>
    <definedName name="_xlnm._FilterDatabase" localSheetId="4" hidden="1">'Audit Findings'!$A$1:$I$17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F3864"/>
      </patternFill>
    </fill>
    <fill>
      <patternFill patternType="solid">
        <fgColor rgb="00C6E0B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50" customWidth="1" min="3" max="3"/>
    <col width="40" customWidth="1" min="4" max="4"/>
    <col width="30" customWidth="1" min="5" max="5"/>
    <col width="70" customWidth="1" min="6" max="6"/>
    <col width="9" customWidth="1" min="7" max="7"/>
  </cols>
  <sheetData>
    <row r="1">
      <c r="A1" s="1" t="inlineStr">
        <is>
          <t>Step #</t>
        </is>
      </c>
      <c r="B1" s="1" t="inlineStr">
        <is>
          <t>Event</t>
        </is>
      </c>
      <c r="C1" s="1" t="inlineStr">
        <is>
          <t>Condition</t>
        </is>
      </c>
      <c r="D1" s="1" t="inlineStr">
        <is>
          <t>Workflow</t>
        </is>
      </c>
      <c r="E1" s="1" t="inlineStr">
        <is>
          <t>Action</t>
        </is>
      </c>
      <c r="F1" s="1" t="inlineStr">
        <is>
          <t>Result</t>
        </is>
      </c>
      <c r="G1" s="1" t="inlineStr">
        <is>
          <t>Next Step</t>
        </is>
      </c>
    </row>
    <row r="2">
      <c r="A2" s="2" t="n">
        <v>1</v>
      </c>
      <c r="B2" s="2" t="inlineStr">
        <is>
          <t>Company meets trigger</t>
        </is>
      </c>
      <c r="C2" s="2" t="inlineStr">
        <is>
          <t>Customer Tier is any of Tier 2 - L2, Tier 2 - L1, Enterprise, Tier 3, Tier 1 AND Status is any of Live AND PPC Enrolled (Yes/No) is any of Yes AND Trend to Goal is any of At Risk. Re-enroll ON. Re-checked every month on day(s) 5 at 00:00.</t>
        </is>
      </c>
      <c r="D2" s="2" t="inlineStr">
        <is>
          <t>At Risk Monthly Performance Reviews | Marketing Services (UPDATED)</t>
        </is>
      </c>
      <c r="E2" s="2" t="inlineStr">
        <is>
          <t>Enrollment trigger</t>
        </is>
      </c>
      <c r="F2" s="2" t="inlineStr">
        <is>
          <t>Enrolls</t>
        </is>
      </c>
      <c r="G2" s="2" t="n">
        <v>2</v>
      </c>
    </row>
    <row r="3">
      <c r="A3" s="2" t="n">
        <v>2</v>
      </c>
      <c r="B3" s="2" t="inlineStr">
        <is>
          <t>Branch</t>
        </is>
      </c>
      <c r="C3" s="2" t="inlineStr">
        <is>
          <t>Always</t>
        </is>
      </c>
      <c r="D3" s="2" t="inlineStr">
        <is>
          <t>At Risk Monthly Performance Reviews | Marketing Services (UPDATED)</t>
        </is>
      </c>
      <c r="E3" s="2" t="inlineStr">
        <is>
          <t>Step 1 - Branch on one property value</t>
        </is>
      </c>
      <c r="F3" s="2" t="inlineStr">
        <is>
          <t>Branches on SpareFoot (Y/N): true; false; anything else -&gt; ends.</t>
        </is>
      </c>
      <c r="G3" s="2" t="n">
        <v>3</v>
      </c>
    </row>
    <row r="4">
      <c r="A4" s="2" t="n">
        <v>3</v>
      </c>
      <c r="B4" s="2" t="inlineStr">
        <is>
          <t>Branch</t>
        </is>
      </c>
      <c r="C4" s="2">
        <f> true</f>
        <v/>
      </c>
      <c r="D4" s="2" t="inlineStr">
        <is>
          <t>At Risk Monthly Performance Reviews | Marketing Services (UPDATED)</t>
        </is>
      </c>
      <c r="E4" s="2" t="inlineStr">
        <is>
          <t>Step 2 - Branch on one property value</t>
        </is>
      </c>
      <c r="F4" s="2" t="inlineStr">
        <is>
          <t>Branches on Portfolio Mgr: Brock Hegr; Sarah Schlosberg; Mohammad Abudahab; Not Assigned; anything else -&gt; default branch.</t>
        </is>
      </c>
      <c r="G4" s="2" t="n">
        <v>4</v>
      </c>
    </row>
    <row r="5">
      <c r="A5" s="2" t="n">
        <v>4</v>
      </c>
      <c r="B5" s="2" t="inlineStr">
        <is>
          <t>Create task: Creates task "Marketing Performance Review" for Brock Hegr, due 45 business day(s) after creation at 08:00.</t>
        </is>
      </c>
      <c r="C5" s="2">
        <f> true &gt; = Brock Hegr</f>
        <v/>
      </c>
      <c r="D5" s="2" t="inlineStr">
        <is>
          <t>At Risk Monthly Performance Reviews | Marketing Services (UPDATED)</t>
        </is>
      </c>
      <c r="E5" s="2" t="inlineStr">
        <is>
          <t>Step 3 - Create task</t>
        </is>
      </c>
      <c r="F5" s="2" t="inlineStr">
        <is>
          <t>Records: none.</t>
        </is>
      </c>
      <c r="G5" s="2" t="n">
        <v>5</v>
      </c>
    </row>
    <row r="6">
      <c r="A6" s="2" t="n">
        <v>5</v>
      </c>
      <c r="B6" s="2" t="inlineStr">
        <is>
          <t>Delay: Waits 64800 minutes (= 45 days).</t>
        </is>
      </c>
      <c r="C6" s="2">
        <f> true &gt; = Brock Hegr</f>
        <v/>
      </c>
      <c r="D6" s="2" t="inlineStr">
        <is>
          <t>At Risk Monthly Performance Reviews | Marketing Services (UPDATED)</t>
        </is>
      </c>
      <c r="E6" s="2" t="inlineStr">
        <is>
          <t>Step 4 - Delay</t>
        </is>
      </c>
      <c r="F6" s="2" t="inlineStr">
        <is>
          <t>-</t>
        </is>
      </c>
      <c r="G6" s="2" t="n">
        <v>6</v>
      </c>
    </row>
    <row r="7">
      <c r="A7" s="2" t="n">
        <v>6</v>
      </c>
      <c r="B7" s="2" t="inlineStr">
        <is>
          <t>Create task: Creates task "Marketing Performance Review" for Sarah Schlosberg, due 45 business day(s) after creation at 08:00.</t>
        </is>
      </c>
      <c r="C7" s="2">
        <f> true &gt; = Sarah Schlosberg</f>
        <v/>
      </c>
      <c r="D7" s="2" t="inlineStr">
        <is>
          <t>At Risk Monthly Performance Reviews | Marketing Services (UPDATED)</t>
        </is>
      </c>
      <c r="E7" s="2" t="inlineStr">
        <is>
          <t>Step 5 - Create task</t>
        </is>
      </c>
      <c r="F7" s="2" t="inlineStr">
        <is>
          <t>Records: none.</t>
        </is>
      </c>
      <c r="G7" s="2" t="n">
        <v>7</v>
      </c>
    </row>
    <row r="8">
      <c r="A8" s="2" t="n">
        <v>7</v>
      </c>
      <c r="B8" s="2" t="inlineStr">
        <is>
          <t>Delay: Waits 64800 minutes (= 45 days).</t>
        </is>
      </c>
      <c r="C8" s="2">
        <f> true &gt; = Sarah Schlosberg</f>
        <v/>
      </c>
      <c r="D8" s="2" t="inlineStr">
        <is>
          <t>At Risk Monthly Performance Reviews | Marketing Services (UPDATED)</t>
        </is>
      </c>
      <c r="E8" s="2" t="inlineStr">
        <is>
          <t>Step 6 - Delay</t>
        </is>
      </c>
      <c r="F8" s="2" t="inlineStr">
        <is>
          <t>-</t>
        </is>
      </c>
      <c r="G8" s="2" t="n">
        <v>8</v>
      </c>
    </row>
    <row r="9">
      <c r="A9" s="2" t="n">
        <v>8</v>
      </c>
      <c r="B9" s="2" t="inlineStr">
        <is>
          <t>Create task: Creates task "Marketing Performance Review" for Mohammad Abudahab, due 45 business day(s) after creation at 08:00.</t>
        </is>
      </c>
      <c r="C9" s="2">
        <f> true &gt; = Mohammad Abudahab</f>
        <v/>
      </c>
      <c r="D9" s="2" t="inlineStr">
        <is>
          <t>At Risk Monthly Performance Reviews | Marketing Services (UPDATED)</t>
        </is>
      </c>
      <c r="E9" s="2" t="inlineStr">
        <is>
          <t>Step 7 - Create task</t>
        </is>
      </c>
      <c r="F9" s="2" t="inlineStr">
        <is>
          <t>Records: none.</t>
        </is>
      </c>
      <c r="G9" s="2" t="n">
        <v>9</v>
      </c>
    </row>
    <row r="10">
      <c r="A10" s="2" t="n">
        <v>9</v>
      </c>
      <c r="B10" s="2" t="inlineStr">
        <is>
          <t>Delay: Waits 64800 minutes (= 45 days).</t>
        </is>
      </c>
      <c r="C10" s="2">
        <f> true &gt; = Mohammad Abudahab</f>
        <v/>
      </c>
      <c r="D10" s="2" t="inlineStr">
        <is>
          <t>At Risk Monthly Performance Reviews | Marketing Services (UPDATED)</t>
        </is>
      </c>
      <c r="E10" s="2" t="inlineStr">
        <is>
          <t>Step 8 - Delay</t>
        </is>
      </c>
      <c r="F10" s="2" t="inlineStr">
        <is>
          <t>-</t>
        </is>
      </c>
      <c r="G10" s="2" t="n">
        <v>10</v>
      </c>
    </row>
    <row r="11">
      <c r="A11" s="2" t="n">
        <v>10</v>
      </c>
      <c r="B11" s="2" t="inlineStr">
        <is>
          <t>Create task: Creates task "Marketing Performance Review" for No owner set, due 45 business day(s) after creation at 08:00.</t>
        </is>
      </c>
      <c r="C11" s="2">
        <f> true &gt; = Not Assigned</f>
        <v/>
      </c>
      <c r="D11" s="2" t="inlineStr">
        <is>
          <t>At Risk Monthly Performance Reviews | Marketing Services (UPDATED)</t>
        </is>
      </c>
      <c r="E11" s="2" t="inlineStr">
        <is>
          <t>Step 9 - Create task</t>
        </is>
      </c>
      <c r="F11" s="2" t="inlineStr">
        <is>
          <t>Records: none.</t>
        </is>
      </c>
      <c r="G11" s="2" t="n">
        <v>11</v>
      </c>
    </row>
    <row r="12">
      <c r="A12" s="2" t="n">
        <v>11</v>
      </c>
      <c r="B12" s="2" t="inlineStr">
        <is>
          <t>Delay: Waits 64800 minutes (= 45 days).</t>
        </is>
      </c>
      <c r="C12" s="2">
        <f> true &gt; = Not Assigned</f>
        <v/>
      </c>
      <c r="D12" s="2" t="inlineStr">
        <is>
          <t>At Risk Monthly Performance Reviews | Marketing Services (UPDATED)</t>
        </is>
      </c>
      <c r="E12" s="2" t="inlineStr">
        <is>
          <t>Step 10 - Delay</t>
        </is>
      </c>
      <c r="F12" s="2" t="inlineStr">
        <is>
          <t>-</t>
        </is>
      </c>
      <c r="G12" s="2" t="n">
        <v>12</v>
      </c>
    </row>
    <row r="13">
      <c r="A13" s="2" t="n">
        <v>12</v>
      </c>
      <c r="B13" s="2" t="inlineStr">
        <is>
          <t>Branch</t>
        </is>
      </c>
      <c r="C13" s="2">
        <f> false</f>
        <v/>
      </c>
      <c r="D13" s="2" t="inlineStr">
        <is>
          <t>At Risk Monthly Performance Reviews | Marketing Services (UPDATED)</t>
        </is>
      </c>
      <c r="E13" s="2" t="inlineStr">
        <is>
          <t>Step 11 - Branch on one property value</t>
        </is>
      </c>
      <c r="F13" s="2" t="inlineStr">
        <is>
          <t>Branches on Portfolio Mgr: Brock Hegr; Sarah Schlosberg; Mohammad Abudahab; Not Assigned; anything else -&gt; default branch.</t>
        </is>
      </c>
      <c r="G13" s="2" t="n">
        <v>13</v>
      </c>
    </row>
    <row r="14">
      <c r="A14" s="2" t="n">
        <v>13</v>
      </c>
      <c r="B14" s="2" t="inlineStr">
        <is>
          <t>Create task: Creates task "Marketing Performance Review" for Brock Hegr, due 45 business day(s) after creation at 08:00.</t>
        </is>
      </c>
      <c r="C14" s="2">
        <f> false &gt; = Brock Hegr</f>
        <v/>
      </c>
      <c r="D14" s="2" t="inlineStr">
        <is>
          <t>At Risk Monthly Performance Reviews | Marketing Services (UPDATED)</t>
        </is>
      </c>
      <c r="E14" s="2" t="inlineStr">
        <is>
          <t>Step 12 - Create task</t>
        </is>
      </c>
      <c r="F14" s="2" t="inlineStr">
        <is>
          <t>Records: none.</t>
        </is>
      </c>
      <c r="G14" s="2" t="n">
        <v>14</v>
      </c>
    </row>
    <row r="15">
      <c r="A15" s="2" t="n">
        <v>14</v>
      </c>
      <c r="B15" s="2" t="inlineStr">
        <is>
          <t>Delay: Waits 64800 minutes (= 45 days).</t>
        </is>
      </c>
      <c r="C15" s="2">
        <f> false &gt; = Brock Hegr</f>
        <v/>
      </c>
      <c r="D15" s="2" t="inlineStr">
        <is>
          <t>At Risk Monthly Performance Reviews | Marketing Services (UPDATED)</t>
        </is>
      </c>
      <c r="E15" s="2" t="inlineStr">
        <is>
          <t>Step 13 - Delay</t>
        </is>
      </c>
      <c r="F15" s="2" t="inlineStr">
        <is>
          <t>-</t>
        </is>
      </c>
      <c r="G15" s="2" t="n">
        <v>15</v>
      </c>
    </row>
    <row r="16">
      <c r="A16" s="2" t="n">
        <v>15</v>
      </c>
      <c r="B16" s="2" t="inlineStr">
        <is>
          <t>Create task: Creates task "Marketing Performance Review" for Sarah Schlosberg, due 45 business day(s) after creation at 08:00.</t>
        </is>
      </c>
      <c r="C16" s="2">
        <f> false &gt; = Sarah Schlosberg</f>
        <v/>
      </c>
      <c r="D16" s="2" t="inlineStr">
        <is>
          <t>At Risk Monthly Performance Reviews | Marketing Services (UPDATED)</t>
        </is>
      </c>
      <c r="E16" s="2" t="inlineStr">
        <is>
          <t>Step 14 - Create task</t>
        </is>
      </c>
      <c r="F16" s="2" t="inlineStr">
        <is>
          <t>Records: none.</t>
        </is>
      </c>
      <c r="G16" s="2" t="n">
        <v>16</v>
      </c>
    </row>
    <row r="17">
      <c r="A17" s="2" t="n">
        <v>16</v>
      </c>
      <c r="B17" s="2" t="inlineStr">
        <is>
          <t>Delay: Waits 64800 minutes (= 45 days).</t>
        </is>
      </c>
      <c r="C17" s="2">
        <f> false &gt; = Sarah Schlosberg</f>
        <v/>
      </c>
      <c r="D17" s="2" t="inlineStr">
        <is>
          <t>At Risk Monthly Performance Reviews | Marketing Services (UPDATED)</t>
        </is>
      </c>
      <c r="E17" s="2" t="inlineStr">
        <is>
          <t>Step 15 - Delay</t>
        </is>
      </c>
      <c r="F17" s="2" t="inlineStr">
        <is>
          <t>-</t>
        </is>
      </c>
      <c r="G17" s="2" t="n">
        <v>17</v>
      </c>
    </row>
    <row r="18">
      <c r="A18" s="2" t="n">
        <v>17</v>
      </c>
      <c r="B18" s="2" t="inlineStr">
        <is>
          <t>Create task: Creates task "Marketing Performance Review" for Mohammad Abudahab, due 45 business day(s) after creation at 08:00.</t>
        </is>
      </c>
      <c r="C18" s="2">
        <f> false &gt; = Mohammad Abudahab</f>
        <v/>
      </c>
      <c r="D18" s="2" t="inlineStr">
        <is>
          <t>At Risk Monthly Performance Reviews | Marketing Services (UPDATED)</t>
        </is>
      </c>
      <c r="E18" s="2" t="inlineStr">
        <is>
          <t>Step 16 - Create task</t>
        </is>
      </c>
      <c r="F18" s="2" t="inlineStr">
        <is>
          <t>Records: none.</t>
        </is>
      </c>
      <c r="G18" s="2" t="n">
        <v>18</v>
      </c>
    </row>
    <row r="19">
      <c r="A19" s="2" t="n">
        <v>18</v>
      </c>
      <c r="B19" s="2" t="inlineStr">
        <is>
          <t>Delay: Waits 64800 minutes (= 45 days).</t>
        </is>
      </c>
      <c r="C19" s="2">
        <f> false &gt; = Mohammad Abudahab</f>
        <v/>
      </c>
      <c r="D19" s="2" t="inlineStr">
        <is>
          <t>At Risk Monthly Performance Reviews | Marketing Services (UPDATED)</t>
        </is>
      </c>
      <c r="E19" s="2" t="inlineStr">
        <is>
          <t>Step 17 - Delay</t>
        </is>
      </c>
      <c r="F19" s="2" t="inlineStr">
        <is>
          <t>-</t>
        </is>
      </c>
      <c r="G19" s="2" t="n">
        <v>19</v>
      </c>
    </row>
    <row r="20">
      <c r="A20" s="2" t="n">
        <v>19</v>
      </c>
      <c r="B20" s="2" t="inlineStr">
        <is>
          <t>Create task: Creates task "Marketing Performance Review" for No owner set, due 45 business day(s) after creation at 08:00.</t>
        </is>
      </c>
      <c r="C20" s="2">
        <f> false &gt; = Not Assigned</f>
        <v/>
      </c>
      <c r="D20" s="2" t="inlineStr">
        <is>
          <t>At Risk Monthly Performance Reviews | Marketing Services (UPDATED)</t>
        </is>
      </c>
      <c r="E20" s="2" t="inlineStr">
        <is>
          <t>Step 18 - Create task</t>
        </is>
      </c>
      <c r="F20" s="2" t="inlineStr">
        <is>
          <t>Records: none.</t>
        </is>
      </c>
      <c r="G20" s="2" t="n">
        <v>20</v>
      </c>
    </row>
    <row r="21">
      <c r="A21" s="2" t="n">
        <v>20</v>
      </c>
      <c r="B21" s="2" t="inlineStr">
        <is>
          <t>Delay: Waits 64800 minutes (= 45 days).</t>
        </is>
      </c>
      <c r="C21" s="2">
        <f> false &gt; = Not Assigned</f>
        <v/>
      </c>
      <c r="D21" s="2" t="inlineStr">
        <is>
          <t>At Risk Monthly Performance Reviews | Marketing Services (UPDATED)</t>
        </is>
      </c>
      <c r="E21" s="2" t="inlineStr">
        <is>
          <t>Step 19 - Delay</t>
        </is>
      </c>
      <c r="F21" s="2" t="inlineStr">
        <is>
          <t>-</t>
        </is>
      </c>
      <c r="G21" s="2" t="n">
        <v>21</v>
      </c>
    </row>
    <row r="22">
      <c r="A22" s="2" t="n">
        <v>21</v>
      </c>
      <c r="B22" s="2" t="inlineStr">
        <is>
          <t>Company meets trigger</t>
        </is>
      </c>
      <c r="C22" s="2" t="inlineStr">
        <is>
          <t>Customer Tier is any of Enterprise, Tier 2 - L1, Tier 1 AND Status is any of Live AND PPC Enrolled (Yes/No) is any of Yes AND Trend to Goal is any of Improving. Re-enroll ON. Re-checked every month on day(s) 5 at 00:00.</t>
        </is>
      </c>
      <c r="D22" s="2" t="inlineStr">
        <is>
          <t>Improving Monthly Performance Reviews | Marketing Services (UPDATED)</t>
        </is>
      </c>
      <c r="E22" s="2" t="inlineStr">
        <is>
          <t>Enrollment trigger</t>
        </is>
      </c>
      <c r="F22" s="2" t="inlineStr">
        <is>
          <t>Enrolls</t>
        </is>
      </c>
      <c r="G22" s="2" t="n">
        <v>22</v>
      </c>
    </row>
    <row r="23">
      <c r="A23" s="2" t="n">
        <v>22</v>
      </c>
      <c r="B23" s="2" t="inlineStr">
        <is>
          <t>Branch</t>
        </is>
      </c>
      <c r="C23" s="2" t="inlineStr">
        <is>
          <t>Always</t>
        </is>
      </c>
      <c r="D23" s="2" t="inlineStr">
        <is>
          <t>Improving Monthly Performance Reviews | Marketing Services (UPDATED)</t>
        </is>
      </c>
      <c r="E23" s="2" t="inlineStr">
        <is>
          <t>Step 1 - Branch on one property value</t>
        </is>
      </c>
      <c r="F23" s="2" t="inlineStr">
        <is>
          <t>Branches on SpareFoot (Y/N): true; false; anything else -&gt; ends.</t>
        </is>
      </c>
      <c r="G23" s="2" t="n">
        <v>23</v>
      </c>
    </row>
    <row r="24">
      <c r="A24" s="2" t="n">
        <v>23</v>
      </c>
      <c r="B24" s="2" t="inlineStr">
        <is>
          <t>Branch</t>
        </is>
      </c>
      <c r="C24" s="2">
        <f> true</f>
        <v/>
      </c>
      <c r="D24" s="2" t="inlineStr">
        <is>
          <t>Improving Monthly Performance Reviews | Marketing Services (UPDATED)</t>
        </is>
      </c>
      <c r="E24" s="2" t="inlineStr">
        <is>
          <t>Step 2 - Branch on one property value</t>
        </is>
      </c>
      <c r="F24" s="2" t="inlineStr">
        <is>
          <t>Branches on Portfolio Mgr: Brock Hegr; Sarah Schlosberg; Mohammad Abudahab; Not Assigned; anything else -&gt; default branch.</t>
        </is>
      </c>
      <c r="G24" s="2" t="n">
        <v>24</v>
      </c>
    </row>
    <row r="25">
      <c r="A25" s="2" t="n">
        <v>24</v>
      </c>
      <c r="B25" s="2" t="inlineStr">
        <is>
          <t>Create task: Creates task "Marketing Performance Review" for Brock Hegr, due 45 business day(s) after creation at 08:00.</t>
        </is>
      </c>
      <c r="C25" s="2">
        <f> true &gt; = Brock Hegr</f>
        <v/>
      </c>
      <c r="D25" s="2" t="inlineStr">
        <is>
          <t>Improving Monthly Performance Reviews | Marketing Services (UPDATED)</t>
        </is>
      </c>
      <c r="E25" s="2" t="inlineStr">
        <is>
          <t>Step 3 - Create task</t>
        </is>
      </c>
      <c r="F25" s="2" t="inlineStr">
        <is>
          <t>Records: none.</t>
        </is>
      </c>
      <c r="G25" s="2" t="n">
        <v>25</v>
      </c>
    </row>
    <row r="26">
      <c r="A26" s="2" t="n">
        <v>25</v>
      </c>
      <c r="B26" s="2" t="inlineStr">
        <is>
          <t>Delay: Waits 64800 minutes (= 45 days).</t>
        </is>
      </c>
      <c r="C26" s="2">
        <f> true &gt; = Brock Hegr</f>
        <v/>
      </c>
      <c r="D26" s="2" t="inlineStr">
        <is>
          <t>Improving Monthly Performance Reviews | Marketing Services (UPDATED)</t>
        </is>
      </c>
      <c r="E26" s="2" t="inlineStr">
        <is>
          <t>Step 4 - Delay</t>
        </is>
      </c>
      <c r="F26" s="2" t="inlineStr">
        <is>
          <t>-</t>
        </is>
      </c>
      <c r="G26" s="2" t="n">
        <v>26</v>
      </c>
    </row>
    <row r="27">
      <c r="A27" s="2" t="n">
        <v>26</v>
      </c>
      <c r="B27" s="2" t="inlineStr">
        <is>
          <t>Create task: Creates task "Marketing Performance Review" for Sarah Schlosberg, due 45 business day(s) after creation at 08:00.</t>
        </is>
      </c>
      <c r="C27" s="2">
        <f> true &gt; = Sarah Schlosberg</f>
        <v/>
      </c>
      <c r="D27" s="2" t="inlineStr">
        <is>
          <t>Improving Monthly Performance Reviews | Marketing Services (UPDATED)</t>
        </is>
      </c>
      <c r="E27" s="2" t="inlineStr">
        <is>
          <t>Step 5 - Create task</t>
        </is>
      </c>
      <c r="F27" s="2" t="inlineStr">
        <is>
          <t>Records: none.</t>
        </is>
      </c>
      <c r="G27" s="2" t="n">
        <v>27</v>
      </c>
    </row>
    <row r="28">
      <c r="A28" s="2" t="n">
        <v>27</v>
      </c>
      <c r="B28" s="2" t="inlineStr">
        <is>
          <t>Delay: Waits 64800 minutes (= 45 days).</t>
        </is>
      </c>
      <c r="C28" s="2">
        <f> true &gt; = Sarah Schlosberg</f>
        <v/>
      </c>
      <c r="D28" s="2" t="inlineStr">
        <is>
          <t>Improving Monthly Performance Reviews | Marketing Services (UPDATED)</t>
        </is>
      </c>
      <c r="E28" s="2" t="inlineStr">
        <is>
          <t>Step 6 - Delay</t>
        </is>
      </c>
      <c r="F28" s="2" t="inlineStr">
        <is>
          <t>-</t>
        </is>
      </c>
      <c r="G28" s="2" t="n">
        <v>28</v>
      </c>
    </row>
    <row r="29">
      <c r="A29" s="2" t="n">
        <v>28</v>
      </c>
      <c r="B29" s="2" t="inlineStr">
        <is>
          <t>Create task: Creates task "Marketing Performance Review" for Mohammad Abudahab, due 45 business day(s) after creation at 08:00.</t>
        </is>
      </c>
      <c r="C29" s="2">
        <f> true &gt; = Mohammad Abudahab</f>
        <v/>
      </c>
      <c r="D29" s="2" t="inlineStr">
        <is>
          <t>Improving Monthly Performance Reviews | Marketing Services (UPDATED)</t>
        </is>
      </c>
      <c r="E29" s="2" t="inlineStr">
        <is>
          <t>Step 7 - Create task</t>
        </is>
      </c>
      <c r="F29" s="2" t="inlineStr">
        <is>
          <t>Records: none.</t>
        </is>
      </c>
      <c r="G29" s="2" t="n">
        <v>29</v>
      </c>
    </row>
    <row r="30">
      <c r="A30" s="2" t="n">
        <v>29</v>
      </c>
      <c r="B30" s="2" t="inlineStr">
        <is>
          <t>Delay: Waits 64800 minutes (= 45 days).</t>
        </is>
      </c>
      <c r="C30" s="2">
        <f> true &gt; = Mohammad Abudahab</f>
        <v/>
      </c>
      <c r="D30" s="2" t="inlineStr">
        <is>
          <t>Improving Monthly Performance Reviews | Marketing Services (UPDATED)</t>
        </is>
      </c>
      <c r="E30" s="2" t="inlineStr">
        <is>
          <t>Step 8 - Delay</t>
        </is>
      </c>
      <c r="F30" s="2" t="inlineStr">
        <is>
          <t>-</t>
        </is>
      </c>
      <c r="G30" s="2" t="n">
        <v>30</v>
      </c>
    </row>
    <row r="31">
      <c r="A31" s="2" t="n">
        <v>30</v>
      </c>
      <c r="B31" s="2" t="inlineStr">
        <is>
          <t>Create task: Creates task "Marketing Performance Review" for No owner set, due 45 business day(s) after creation at 08:00.</t>
        </is>
      </c>
      <c r="C31" s="2">
        <f> true &gt; = Not Assigned</f>
        <v/>
      </c>
      <c r="D31" s="2" t="inlineStr">
        <is>
          <t>Improving Monthly Performance Reviews | Marketing Services (UPDATED)</t>
        </is>
      </c>
      <c r="E31" s="2" t="inlineStr">
        <is>
          <t>Step 9 - Create task</t>
        </is>
      </c>
      <c r="F31" s="2" t="inlineStr">
        <is>
          <t>Records: none.</t>
        </is>
      </c>
      <c r="G31" s="2" t="n">
        <v>31</v>
      </c>
    </row>
    <row r="32">
      <c r="A32" s="2" t="n">
        <v>31</v>
      </c>
      <c r="B32" s="2" t="inlineStr">
        <is>
          <t>Delay: Waits 64800 minutes (= 45 days).</t>
        </is>
      </c>
      <c r="C32" s="2">
        <f> true &gt; = Not Assigned</f>
        <v/>
      </c>
      <c r="D32" s="2" t="inlineStr">
        <is>
          <t>Improving Monthly Performance Reviews | Marketing Services (UPDATED)</t>
        </is>
      </c>
      <c r="E32" s="2" t="inlineStr">
        <is>
          <t>Step 10 - Delay</t>
        </is>
      </c>
      <c r="F32" s="2" t="inlineStr">
        <is>
          <t>-</t>
        </is>
      </c>
      <c r="G32" s="2" t="n">
        <v>32</v>
      </c>
    </row>
    <row r="33">
      <c r="A33" s="2" t="n">
        <v>32</v>
      </c>
      <c r="B33" s="2" t="inlineStr">
        <is>
          <t>Branch</t>
        </is>
      </c>
      <c r="C33" s="2">
        <f> false</f>
        <v/>
      </c>
      <c r="D33" s="2" t="inlineStr">
        <is>
          <t>Improving Monthly Performance Reviews | Marketing Services (UPDATED)</t>
        </is>
      </c>
      <c r="E33" s="2" t="inlineStr">
        <is>
          <t>Step 11 - Branch on one property value</t>
        </is>
      </c>
      <c r="F33" s="2" t="inlineStr">
        <is>
          <t>Branches on Portfolio Mgr: Brock Hegr; Sarah Schlosberg; Mohammad Abudahab; Not Assigned; anything else -&gt; default branch.</t>
        </is>
      </c>
      <c r="G33" s="2" t="n">
        <v>33</v>
      </c>
    </row>
    <row r="34">
      <c r="A34" s="2" t="n">
        <v>33</v>
      </c>
      <c r="B34" s="2" t="inlineStr">
        <is>
          <t>Create task: Creates task "Marketing Performance Review" for Brock Hegr, due 45 business day(s) after creation at 08:00.</t>
        </is>
      </c>
      <c r="C34" s="2">
        <f> false &gt; = Brock Hegr</f>
        <v/>
      </c>
      <c r="D34" s="2" t="inlineStr">
        <is>
          <t>Improving Monthly Performance Reviews | Marketing Services (UPDATED)</t>
        </is>
      </c>
      <c r="E34" s="2" t="inlineStr">
        <is>
          <t>Step 12 - Create task</t>
        </is>
      </c>
      <c r="F34" s="2" t="inlineStr">
        <is>
          <t>Records: none.</t>
        </is>
      </c>
      <c r="G34" s="2" t="n">
        <v>34</v>
      </c>
    </row>
    <row r="35">
      <c r="A35" s="2" t="n">
        <v>34</v>
      </c>
      <c r="B35" s="2" t="inlineStr">
        <is>
          <t>Delay: Waits 64800 minutes (= 45 days).</t>
        </is>
      </c>
      <c r="C35" s="2">
        <f> false &gt; = Brock Hegr</f>
        <v/>
      </c>
      <c r="D35" s="2" t="inlineStr">
        <is>
          <t>Improving Monthly Performance Reviews | Marketing Services (UPDATED)</t>
        </is>
      </c>
      <c r="E35" s="2" t="inlineStr">
        <is>
          <t>Step 13 - Delay</t>
        </is>
      </c>
      <c r="F35" s="2" t="inlineStr">
        <is>
          <t>-</t>
        </is>
      </c>
      <c r="G35" s="2" t="n">
        <v>35</v>
      </c>
    </row>
    <row r="36">
      <c r="A36" s="2" t="n">
        <v>35</v>
      </c>
      <c r="B36" s="2" t="inlineStr">
        <is>
          <t>Create task: Creates task "Marketing Performance Review" for Sarah Schlosberg, due 45 business day(s) after creation at 08:00.</t>
        </is>
      </c>
      <c r="C36" s="2">
        <f> false &gt; = Sarah Schlosberg</f>
        <v/>
      </c>
      <c r="D36" s="2" t="inlineStr">
        <is>
          <t>Improving Monthly Performance Reviews | Marketing Services (UPDATED)</t>
        </is>
      </c>
      <c r="E36" s="2" t="inlineStr">
        <is>
          <t>Step 14 - Create task</t>
        </is>
      </c>
      <c r="F36" s="2" t="inlineStr">
        <is>
          <t>Records: none.</t>
        </is>
      </c>
      <c r="G36" s="2" t="n">
        <v>36</v>
      </c>
    </row>
    <row r="37">
      <c r="A37" s="2" t="n">
        <v>36</v>
      </c>
      <c r="B37" s="2" t="inlineStr">
        <is>
          <t>Delay: Waits 64800 minutes (= 45 days).</t>
        </is>
      </c>
      <c r="C37" s="2">
        <f> false &gt; = Sarah Schlosberg</f>
        <v/>
      </c>
      <c r="D37" s="2" t="inlineStr">
        <is>
          <t>Improving Monthly Performance Reviews | Marketing Services (UPDATED)</t>
        </is>
      </c>
      <c r="E37" s="2" t="inlineStr">
        <is>
          <t>Step 15 - Delay</t>
        </is>
      </c>
      <c r="F37" s="2" t="inlineStr">
        <is>
          <t>-</t>
        </is>
      </c>
      <c r="G37" s="2" t="n">
        <v>37</v>
      </c>
    </row>
    <row r="38">
      <c r="A38" s="2" t="n">
        <v>37</v>
      </c>
      <c r="B38" s="2" t="inlineStr">
        <is>
          <t>Create task: Creates task "Marketing Performance Review" for Mohammad Abudahab, due 45 business day(s) after creation at 08:00.</t>
        </is>
      </c>
      <c r="C38" s="2">
        <f> false &gt; = Mohammad Abudahab</f>
        <v/>
      </c>
      <c r="D38" s="2" t="inlineStr">
        <is>
          <t>Improving Monthly Performance Reviews | Marketing Services (UPDATED)</t>
        </is>
      </c>
      <c r="E38" s="2" t="inlineStr">
        <is>
          <t>Step 16 - Create task</t>
        </is>
      </c>
      <c r="F38" s="2" t="inlineStr">
        <is>
          <t>Records: none.</t>
        </is>
      </c>
      <c r="G38" s="2" t="n">
        <v>38</v>
      </c>
    </row>
    <row r="39">
      <c r="A39" s="2" t="n">
        <v>38</v>
      </c>
      <c r="B39" s="2" t="inlineStr">
        <is>
          <t>Delay: Waits 64800 minutes (= 45 days).</t>
        </is>
      </c>
      <c r="C39" s="2">
        <f> false &gt; = Mohammad Abudahab</f>
        <v/>
      </c>
      <c r="D39" s="2" t="inlineStr">
        <is>
          <t>Improving Monthly Performance Reviews | Marketing Services (UPDATED)</t>
        </is>
      </c>
      <c r="E39" s="2" t="inlineStr">
        <is>
          <t>Step 17 - Delay</t>
        </is>
      </c>
      <c r="F39" s="2" t="inlineStr">
        <is>
          <t>-</t>
        </is>
      </c>
      <c r="G39" s="2" t="n">
        <v>39</v>
      </c>
    </row>
    <row r="40">
      <c r="A40" s="2" t="n">
        <v>39</v>
      </c>
      <c r="B40" s="2" t="inlineStr">
        <is>
          <t>Create task: Creates task "Marketing Performance Review" for No owner set, due 45 business day(s) after creation at 08:00.</t>
        </is>
      </c>
      <c r="C40" s="2">
        <f> false &gt; = Not Assigned</f>
        <v/>
      </c>
      <c r="D40" s="2" t="inlineStr">
        <is>
          <t>Improving Monthly Performance Reviews | Marketing Services (UPDATED)</t>
        </is>
      </c>
      <c r="E40" s="2" t="inlineStr">
        <is>
          <t>Step 18 - Create task</t>
        </is>
      </c>
      <c r="F40" s="2" t="inlineStr">
        <is>
          <t>Records: none.</t>
        </is>
      </c>
      <c r="G40" s="2" t="n">
        <v>40</v>
      </c>
    </row>
    <row r="41">
      <c r="A41" s="2" t="n">
        <v>40</v>
      </c>
      <c r="B41" s="2" t="inlineStr">
        <is>
          <t>Delay: Waits 64800 minutes (= 45 days).</t>
        </is>
      </c>
      <c r="C41" s="2">
        <f> false &gt; = Not Assigned</f>
        <v/>
      </c>
      <c r="D41" s="2" t="inlineStr">
        <is>
          <t>Improving Monthly Performance Reviews | Marketing Services (UPDATED)</t>
        </is>
      </c>
      <c r="E41" s="2" t="inlineStr">
        <is>
          <t>Step 19 - Delay</t>
        </is>
      </c>
      <c r="F41" s="2" t="inlineStr">
        <is>
          <t>-</t>
        </is>
      </c>
      <c r="G41" s="2" t="n">
        <v>41</v>
      </c>
    </row>
    <row r="42">
      <c r="A42" s="2" t="n">
        <v>41</v>
      </c>
      <c r="B42" s="2" t="inlineStr">
        <is>
          <t>Company meets trigger</t>
        </is>
      </c>
      <c r="C42" s="2" t="inlineStr">
        <is>
          <t>Standalone Services is any of Marketing AND Status is any of Live AND PPC Enrolled (Yes/No) is any of Yes. Re-enroll ON. Re-checked every month on day(s) 5 at 00:00.</t>
        </is>
      </c>
      <c r="D42" s="2" t="inlineStr">
        <is>
          <t>Standalone Marketing | Monthly Performance Reviews | Marketing Services (UPDATED)</t>
        </is>
      </c>
      <c r="E42" s="2" t="inlineStr">
        <is>
          <t>Enrollment trigger</t>
        </is>
      </c>
      <c r="F42" s="2" t="inlineStr">
        <is>
          <t>Enrolls</t>
        </is>
      </c>
      <c r="G42" s="2" t="n">
        <v>42</v>
      </c>
    </row>
    <row r="43">
      <c r="A43" s="2" t="n">
        <v>42</v>
      </c>
      <c r="B43" s="2" t="inlineStr">
        <is>
          <t>Branch</t>
        </is>
      </c>
      <c r="C43" s="2" t="inlineStr">
        <is>
          <t>Always</t>
        </is>
      </c>
      <c r="D43" s="2" t="inlineStr">
        <is>
          <t>Standalone Marketing | Monthly Performance Reviews | Marketing Services (UPDATED)</t>
        </is>
      </c>
      <c r="E43" s="2" t="inlineStr">
        <is>
          <t>Step 1 - Branch on one property value</t>
        </is>
      </c>
      <c r="F43" s="2" t="inlineStr">
        <is>
          <t>Branches on SpareFoot (Y/N): true; false; anything else -&gt; ends.</t>
        </is>
      </c>
      <c r="G43" s="2" t="n">
        <v>43</v>
      </c>
    </row>
    <row r="44">
      <c r="A44" s="2" t="n">
        <v>43</v>
      </c>
      <c r="B44" s="2" t="inlineStr">
        <is>
          <t>Branch</t>
        </is>
      </c>
      <c r="C44" s="2">
        <f> true</f>
        <v/>
      </c>
      <c r="D44" s="2" t="inlineStr">
        <is>
          <t>Standalone Marketing | Monthly Performance Reviews | Marketing Services (UPDATED)</t>
        </is>
      </c>
      <c r="E44" s="2" t="inlineStr">
        <is>
          <t>Step 2 - Branch on one property value</t>
        </is>
      </c>
      <c r="F44" s="2" t="inlineStr">
        <is>
          <t>Branches on Portfolio Mgr: Brock Hegr; Sarah Schlosberg; Mohammad Abudahab; Not Assigned; anything else -&gt; default branch.</t>
        </is>
      </c>
      <c r="G44" s="2" t="n">
        <v>44</v>
      </c>
    </row>
    <row r="45">
      <c r="A45" s="2" t="n">
        <v>44</v>
      </c>
      <c r="B45" s="2" t="inlineStr">
        <is>
          <t>Create task: Creates task "Marketing Performance Review" for Brock Hegr, due 45 business day(s) after creation at 08:00.</t>
        </is>
      </c>
      <c r="C45" s="2">
        <f> true &gt; = Brock Hegr</f>
        <v/>
      </c>
      <c r="D45" s="2" t="inlineStr">
        <is>
          <t>Standalone Marketing | Monthly Performance Reviews | Marketing Services (UPDATED)</t>
        </is>
      </c>
      <c r="E45" s="2" t="inlineStr">
        <is>
          <t>Step 3 - Create task</t>
        </is>
      </c>
      <c r="F45" s="2" t="inlineStr">
        <is>
          <t>Records: none.</t>
        </is>
      </c>
      <c r="G45" s="2" t="n">
        <v>45</v>
      </c>
    </row>
    <row r="46">
      <c r="A46" s="2" t="n">
        <v>45</v>
      </c>
      <c r="B46" s="2" t="inlineStr">
        <is>
          <t>Delay: Waits 64800 minutes (= 45 days).</t>
        </is>
      </c>
      <c r="C46" s="2">
        <f> true &gt; = Brock Hegr</f>
        <v/>
      </c>
      <c r="D46" s="2" t="inlineStr">
        <is>
          <t>Standalone Marketing | Monthly Performance Reviews | Marketing Services (UPDATED)</t>
        </is>
      </c>
      <c r="E46" s="2" t="inlineStr">
        <is>
          <t>Step 4 - Delay</t>
        </is>
      </c>
      <c r="F46" s="2" t="inlineStr">
        <is>
          <t>-</t>
        </is>
      </c>
      <c r="G46" s="2" t="n">
        <v>46</v>
      </c>
    </row>
    <row r="47">
      <c r="A47" s="2" t="n">
        <v>46</v>
      </c>
      <c r="B47" s="2" t="inlineStr">
        <is>
          <t>Create task: Creates task "Marketing Performance Review" for Sarah Schlosberg, due 45 business day(s) after creation at 08:00.</t>
        </is>
      </c>
      <c r="C47" s="2">
        <f> true &gt; = Sarah Schlosberg</f>
        <v/>
      </c>
      <c r="D47" s="2" t="inlineStr">
        <is>
          <t>Standalone Marketing | Monthly Performance Reviews | Marketing Services (UPDATED)</t>
        </is>
      </c>
      <c r="E47" s="2" t="inlineStr">
        <is>
          <t>Step 5 - Create task</t>
        </is>
      </c>
      <c r="F47" s="2" t="inlineStr">
        <is>
          <t>Records: none.</t>
        </is>
      </c>
      <c r="G47" s="2" t="n">
        <v>47</v>
      </c>
    </row>
    <row r="48">
      <c r="A48" s="2" t="n">
        <v>47</v>
      </c>
      <c r="B48" s="2" t="inlineStr">
        <is>
          <t>Delay: Waits 64800 minutes (= 45 days).</t>
        </is>
      </c>
      <c r="C48" s="2">
        <f> true &gt; = Sarah Schlosberg</f>
        <v/>
      </c>
      <c r="D48" s="2" t="inlineStr">
        <is>
          <t>Standalone Marketing | Monthly Performance Reviews | Marketing Services (UPDATED)</t>
        </is>
      </c>
      <c r="E48" s="2" t="inlineStr">
        <is>
          <t>Step 6 - Delay</t>
        </is>
      </c>
      <c r="F48" s="2" t="inlineStr">
        <is>
          <t>-</t>
        </is>
      </c>
      <c r="G48" s="2" t="n">
        <v>48</v>
      </c>
    </row>
    <row r="49">
      <c r="A49" s="2" t="n">
        <v>48</v>
      </c>
      <c r="B49" s="2" t="inlineStr">
        <is>
          <t>Create task: Creates task "Marketing Performance Review" for Mohammad Abudahab, due 45 business day(s) after creation at 08:00.</t>
        </is>
      </c>
      <c r="C49" s="2">
        <f> true &gt; = Mohammad Abudahab</f>
        <v/>
      </c>
      <c r="D49" s="2" t="inlineStr">
        <is>
          <t>Standalone Marketing | Monthly Performance Reviews | Marketing Services (UPDATED)</t>
        </is>
      </c>
      <c r="E49" s="2" t="inlineStr">
        <is>
          <t>Step 7 - Create task</t>
        </is>
      </c>
      <c r="F49" s="2" t="inlineStr">
        <is>
          <t>Records: none.</t>
        </is>
      </c>
      <c r="G49" s="2" t="n">
        <v>49</v>
      </c>
    </row>
    <row r="50">
      <c r="A50" s="2" t="n">
        <v>49</v>
      </c>
      <c r="B50" s="2" t="inlineStr">
        <is>
          <t>Delay: Waits 64800 minutes (= 45 days).</t>
        </is>
      </c>
      <c r="C50" s="2">
        <f> true &gt; = Mohammad Abudahab</f>
        <v/>
      </c>
      <c r="D50" s="2" t="inlineStr">
        <is>
          <t>Standalone Marketing | Monthly Performance Reviews | Marketing Services (UPDATED)</t>
        </is>
      </c>
      <c r="E50" s="2" t="inlineStr">
        <is>
          <t>Step 8 - Delay</t>
        </is>
      </c>
      <c r="F50" s="2" t="inlineStr">
        <is>
          <t>-</t>
        </is>
      </c>
      <c r="G50" s="2" t="n">
        <v>50</v>
      </c>
    </row>
    <row r="51">
      <c r="A51" s="2" t="n">
        <v>50</v>
      </c>
      <c r="B51" s="2" t="inlineStr">
        <is>
          <t>Create task: Creates task "Marketing Performance Review" for No owner set, due 45 business day(s) after creation at 08:00.</t>
        </is>
      </c>
      <c r="C51" s="2">
        <f> true &gt; = Not Assigned</f>
        <v/>
      </c>
      <c r="D51" s="2" t="inlineStr">
        <is>
          <t>Standalone Marketing | Monthly Performance Reviews | Marketing Services (UPDATED)</t>
        </is>
      </c>
      <c r="E51" s="2" t="inlineStr">
        <is>
          <t>Step 9 - Create task</t>
        </is>
      </c>
      <c r="F51" s="2" t="inlineStr">
        <is>
          <t>Records: none.</t>
        </is>
      </c>
      <c r="G51" s="2" t="n">
        <v>51</v>
      </c>
    </row>
    <row r="52">
      <c r="A52" s="2" t="n">
        <v>51</v>
      </c>
      <c r="B52" s="2" t="inlineStr">
        <is>
          <t>Delay: Waits 64800 minutes (= 45 days).</t>
        </is>
      </c>
      <c r="C52" s="2">
        <f> true &gt; = Not Assigned</f>
        <v/>
      </c>
      <c r="D52" s="2" t="inlineStr">
        <is>
          <t>Standalone Marketing | Monthly Performance Reviews | Marketing Services (UPDATED)</t>
        </is>
      </c>
      <c r="E52" s="2" t="inlineStr">
        <is>
          <t>Step 10 - Delay</t>
        </is>
      </c>
      <c r="F52" s="2" t="inlineStr">
        <is>
          <t>-</t>
        </is>
      </c>
      <c r="G52" s="2" t="n">
        <v>52</v>
      </c>
    </row>
    <row r="53">
      <c r="A53" s="2" t="n">
        <v>52</v>
      </c>
      <c r="B53" s="2" t="inlineStr">
        <is>
          <t>Branch</t>
        </is>
      </c>
      <c r="C53" s="2">
        <f> false</f>
        <v/>
      </c>
      <c r="D53" s="2" t="inlineStr">
        <is>
          <t>Standalone Marketing | Monthly Performance Reviews | Marketing Services (UPDATED)</t>
        </is>
      </c>
      <c r="E53" s="2" t="inlineStr">
        <is>
          <t>Step 11 - Branch on one property value</t>
        </is>
      </c>
      <c r="F53" s="2" t="inlineStr">
        <is>
          <t>Branches on Portfolio Mgr: Brock Hegr; Sarah Schlosberg; Mohammad Abudahab; Not Assigned; anything else -&gt; ends.</t>
        </is>
      </c>
      <c r="G53" s="2" t="n">
        <v>53</v>
      </c>
    </row>
    <row r="54">
      <c r="A54" s="2" t="n">
        <v>53</v>
      </c>
      <c r="B54" s="2" t="inlineStr">
        <is>
          <t>Create task: Creates task "Marketing Performance Review" for Brock Hegr, due 45 business day(s) after creation at 08:00.</t>
        </is>
      </c>
      <c r="C54" s="2">
        <f> false &gt; = Brock Hegr</f>
        <v/>
      </c>
      <c r="D54" s="2" t="inlineStr">
        <is>
          <t>Standalone Marketing | Monthly Performance Reviews | Marketing Services (UPDATED)</t>
        </is>
      </c>
      <c r="E54" s="2" t="inlineStr">
        <is>
          <t>Step 12 - Create task</t>
        </is>
      </c>
      <c r="F54" s="2" t="inlineStr">
        <is>
          <t>Records: none.</t>
        </is>
      </c>
      <c r="G54" s="2" t="n">
        <v>54</v>
      </c>
    </row>
    <row r="55">
      <c r="A55" s="2" t="n">
        <v>54</v>
      </c>
      <c r="B55" s="2" t="inlineStr">
        <is>
          <t>Delay: Waits 64800 minutes (= 45 days).</t>
        </is>
      </c>
      <c r="C55" s="2">
        <f> false &gt; = Brock Hegr</f>
        <v/>
      </c>
      <c r="D55" s="2" t="inlineStr">
        <is>
          <t>Standalone Marketing | Monthly Performance Reviews | Marketing Services (UPDATED)</t>
        </is>
      </c>
      <c r="E55" s="2" t="inlineStr">
        <is>
          <t>Step 13 - Delay</t>
        </is>
      </c>
      <c r="F55" s="2" t="inlineStr">
        <is>
          <t>-</t>
        </is>
      </c>
      <c r="G55" s="2" t="n">
        <v>55</v>
      </c>
    </row>
    <row r="56">
      <c r="A56" s="2" t="n">
        <v>55</v>
      </c>
      <c r="B56" s="2" t="inlineStr">
        <is>
          <t>Create task: Creates task "Marketing Performance Review" for Sarah Schlosberg, due 45 business day(s) after creation at 08:00.</t>
        </is>
      </c>
      <c r="C56" s="2">
        <f> false &gt; = Sarah Schlosberg</f>
        <v/>
      </c>
      <c r="D56" s="2" t="inlineStr">
        <is>
          <t>Standalone Marketing | Monthly Performance Reviews | Marketing Services (UPDATED)</t>
        </is>
      </c>
      <c r="E56" s="2" t="inlineStr">
        <is>
          <t>Step 14 - Create task</t>
        </is>
      </c>
      <c r="F56" s="2" t="inlineStr">
        <is>
          <t>Records: none.</t>
        </is>
      </c>
      <c r="G56" s="2" t="n">
        <v>56</v>
      </c>
    </row>
    <row r="57">
      <c r="A57" s="2" t="n">
        <v>56</v>
      </c>
      <c r="B57" s="2" t="inlineStr">
        <is>
          <t>Delay: Waits 64800 minutes (= 45 days).</t>
        </is>
      </c>
      <c r="C57" s="2">
        <f> false &gt; = Sarah Schlosberg</f>
        <v/>
      </c>
      <c r="D57" s="2" t="inlineStr">
        <is>
          <t>Standalone Marketing | Monthly Performance Reviews | Marketing Services (UPDATED)</t>
        </is>
      </c>
      <c r="E57" s="2" t="inlineStr">
        <is>
          <t>Step 15 - Delay</t>
        </is>
      </c>
      <c r="F57" s="2" t="inlineStr">
        <is>
          <t>-</t>
        </is>
      </c>
      <c r="G57" s="2" t="n">
        <v>57</v>
      </c>
    </row>
    <row r="58">
      <c r="A58" s="2" t="n">
        <v>57</v>
      </c>
      <c r="B58" s="2" t="inlineStr">
        <is>
          <t>Create task: Creates task "Marketing Performance Review" for Mohammad Abudahab, due 45 business day(s) after creation at 08:00.</t>
        </is>
      </c>
      <c r="C58" s="2">
        <f> false &gt; = Mohammad Abudahab</f>
        <v/>
      </c>
      <c r="D58" s="2" t="inlineStr">
        <is>
          <t>Standalone Marketing | Monthly Performance Reviews | Marketing Services (UPDATED)</t>
        </is>
      </c>
      <c r="E58" s="2" t="inlineStr">
        <is>
          <t>Step 16 - Create task</t>
        </is>
      </c>
      <c r="F58" s="2" t="inlineStr">
        <is>
          <t>Records: none.</t>
        </is>
      </c>
      <c r="G58" s="2" t="n">
        <v>58</v>
      </c>
    </row>
    <row r="59">
      <c r="A59" s="2" t="n">
        <v>58</v>
      </c>
      <c r="B59" s="2" t="inlineStr">
        <is>
          <t>Delay: Waits 64800 minutes (= 45 days).</t>
        </is>
      </c>
      <c r="C59" s="2">
        <f> false &gt; = Mohammad Abudahab</f>
        <v/>
      </c>
      <c r="D59" s="2" t="inlineStr">
        <is>
          <t>Standalone Marketing | Monthly Performance Reviews | Marketing Services (UPDATED)</t>
        </is>
      </c>
      <c r="E59" s="2" t="inlineStr">
        <is>
          <t>Step 17 - Delay</t>
        </is>
      </c>
      <c r="F59" s="2" t="inlineStr">
        <is>
          <t>-</t>
        </is>
      </c>
      <c r="G59" s="2" t="n">
        <v>59</v>
      </c>
    </row>
    <row r="60">
      <c r="A60" s="2" t="n">
        <v>59</v>
      </c>
      <c r="B60" s="2" t="inlineStr">
        <is>
          <t>Create task: Creates task "Marketing Performance Review" for No owner set, due 45 business day(s) after creation at 08:00.</t>
        </is>
      </c>
      <c r="C60" s="2">
        <f> false &gt; = Not Assigned</f>
        <v/>
      </c>
      <c r="D60" s="2" t="inlineStr">
        <is>
          <t>Standalone Marketing | Monthly Performance Reviews | Marketing Services (UPDATED)</t>
        </is>
      </c>
      <c r="E60" s="2" t="inlineStr">
        <is>
          <t>Step 18 - Create task</t>
        </is>
      </c>
      <c r="F60" s="2" t="inlineStr">
        <is>
          <t>Records: none.</t>
        </is>
      </c>
      <c r="G60" s="2" t="n">
        <v>60</v>
      </c>
    </row>
    <row r="61">
      <c r="A61" s="2" t="n">
        <v>60</v>
      </c>
      <c r="B61" s="2" t="inlineStr">
        <is>
          <t>Delay: Waits 64800 minutes (= 45 days).</t>
        </is>
      </c>
      <c r="C61" s="2">
        <f> false &gt; = Not Assigned</f>
        <v/>
      </c>
      <c r="D61" s="2" t="inlineStr">
        <is>
          <t>Standalone Marketing | Monthly Performance Reviews | Marketing Services (UPDATED)</t>
        </is>
      </c>
      <c r="E61" s="2" t="inlineStr">
        <is>
          <t>Step 19 - Delay</t>
        </is>
      </c>
      <c r="F61" s="2" t="inlineStr">
        <is>
          <t>-</t>
        </is>
      </c>
      <c r="G61" s="2" t="inlineStr">
        <is>
          <t>End</t>
        </is>
      </c>
    </row>
  </sheetData>
  <autoFilter ref="A1:G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0" customWidth="1" min="3" max="3"/>
    <col width="30" customWidth="1" min="4" max="4"/>
    <col width="8" customWidth="1" min="5" max="5"/>
    <col width="22" customWidth="1" min="6" max="6"/>
    <col width="26" customWidth="1" min="7" max="7"/>
    <col width="60" customWidth="1" min="8" max="8"/>
    <col width="18" customWidth="1" min="9" max="9"/>
    <col width="28" customWidth="1" min="10" max="10"/>
    <col width="10" customWidth="1" min="11" max="11"/>
    <col width="70" customWidth="1" min="12" max="12"/>
    <col width="30" customWidth="1" min="13" max="13"/>
    <col width="16" customWidth="1" min="14" max="14"/>
    <col width="50" customWidth="1" min="15" max="15"/>
    <col width="30" customWidth="1" min="16" max="16"/>
    <col width="40" customWidth="1" min="17" max="17"/>
    <col width="60" customWidth="1" min="18" max="18"/>
    <col width="22" customWidth="1" min="19" max="19"/>
  </cols>
  <sheetData>
    <row r="1">
      <c r="A1" s="1" t="inlineStr">
        <is>
          <t>Workflow</t>
        </is>
      </c>
      <c r="B1" s="1" t="inlineStr">
        <is>
          <t>Workflow ID</t>
        </is>
      </c>
      <c r="C1" s="1" t="inlineStr">
        <is>
          <t>Workflow Step</t>
        </is>
      </c>
      <c r="D1" s="1" t="inlineStr">
        <is>
          <t>Branch</t>
        </is>
      </c>
      <c r="E1" s="1" t="inlineStr">
        <is>
          <t>Action #</t>
        </is>
      </c>
      <c r="F1" s="1" t="inlineStr">
        <is>
          <t>Action Name</t>
        </is>
      </c>
      <c r="G1" s="1" t="inlineStr">
        <is>
          <t>Action Type</t>
        </is>
      </c>
      <c r="H1" s="1" t="inlineStr">
        <is>
          <t>What The Action Does</t>
        </is>
      </c>
      <c r="I1" s="1" t="inlineStr">
        <is>
          <t>Object</t>
        </is>
      </c>
      <c r="J1" s="1" t="inlineStr">
        <is>
          <t>Property / Record Affected</t>
        </is>
      </c>
      <c r="K1" s="1" t="inlineStr">
        <is>
          <t>Current Value</t>
        </is>
      </c>
      <c r="L1" s="1" t="inlineStr">
        <is>
          <t>New Value</t>
        </is>
      </c>
      <c r="M1" s="1" t="inlineStr">
        <is>
          <t>Condition</t>
        </is>
      </c>
      <c r="N1" s="1" t="inlineStr">
        <is>
          <t>Delay</t>
        </is>
      </c>
      <c r="O1" s="1" t="inlineStr">
        <is>
          <t>Result</t>
        </is>
      </c>
      <c r="P1" s="1" t="inlineStr">
        <is>
          <t>Next Action</t>
        </is>
      </c>
      <c r="Q1" s="1" t="inlineStr">
        <is>
          <t>Evidence</t>
        </is>
      </c>
      <c r="R1" s="1" t="inlineStr">
        <is>
          <t>Notes</t>
        </is>
      </c>
      <c r="S1" s="1" t="inlineStr">
        <is>
          <t>Evidence Level</t>
        </is>
      </c>
    </row>
    <row r="2">
      <c r="A2" s="2" t="inlineStr">
        <is>
          <t>At Risk Monthly Performance Reviews | Marketing Services (UPDATED)</t>
        </is>
      </c>
      <c r="B2" s="2" t="inlineStr">
        <is>
          <t>1892165928</t>
        </is>
      </c>
      <c r="C2" s="2" t="inlineStr">
        <is>
          <t>Trigger</t>
        </is>
      </c>
      <c r="D2" s="2" t="inlineStr">
        <is>
          <t>-</t>
        </is>
      </c>
      <c r="E2" s="2" t="n">
        <v>0</v>
      </c>
      <c r="F2" s="2" t="inlineStr">
        <is>
          <t>Enrollment trigger</t>
        </is>
      </c>
      <c r="G2" s="2" t="inlineStr">
        <is>
          <t>Records meet custom conditions (filter-based)</t>
        </is>
      </c>
      <c r="H2" s="2" t="inlineStr">
        <is>
          <t>Enrolls a company when: Customer Tier is any of Tier 2 - L2, Tier 2 - L1, Enterprise, Tier 3, Tier 1 AND Status is any of Live AND PPC Enrolled (Yes/No) is any of Yes AND Trend to Goal is any of At Risk. Enrollment is re-checked every month on day(s) 5 at 00:00.</t>
        </is>
      </c>
      <c r="I2" s="2" t="inlineStr">
        <is>
          <t>Company</t>
        </is>
      </c>
      <c r="J2" s="2" t="inlineStr">
        <is>
          <t>-</t>
        </is>
      </c>
      <c r="K2" s="2" t="inlineStr">
        <is>
          <t>-</t>
        </is>
      </c>
      <c r="L2" s="2" t="inlineStr">
        <is>
          <t>Customer Tier is any of Tier 2 - L2, Tier 2 - L1, Enterprise, Tier 3, Tier 1 AND Status is any of Live AND PPC Enrolled (Yes/No) is any of Yes AND Trend to Goal is any of At Risk</t>
        </is>
      </c>
      <c r="M2" s="2" t="inlineStr">
        <is>
          <t>All listed conditions</t>
        </is>
      </c>
      <c r="N2" s="2" t="inlineStr">
        <is>
          <t>None</t>
        </is>
      </c>
      <c r="O2" s="2" t="inlineStr">
        <is>
          <t>Re-enroll: ON. Unenroll if no longer meets criteria: OFF. Suppression (never enroll / unenroll): none. Schedule: re-checked every month on day(s) 5 at 00:00.</t>
        </is>
      </c>
      <c r="P2" s="2" t="inlineStr">
        <is>
          <t>Step 1</t>
        </is>
      </c>
      <c r="Q2" s="2" t="inlineStr">
        <is>
          <t>Config GET /automation/v4/flows/1892165928 (revision 94, updated 2026-10-06). https://app.hubspot.com/workflows/45059701/platform/flow/1892165928/edit</t>
        </is>
      </c>
      <c r="R2" s="2" t="inlineStr"/>
      <c r="S2" s="3" t="inlineStr">
        <is>
          <t>VERIFIED (config)</t>
        </is>
      </c>
    </row>
    <row r="3">
      <c r="A3" s="2" t="inlineStr">
        <is>
          <t>At Risk Monthly Performance Reviews | Marketing Services (UPDATED)</t>
        </is>
      </c>
      <c r="B3" s="2" t="inlineStr">
        <is>
          <t>1892165928</t>
        </is>
      </c>
      <c r="C3" s="2" t="inlineStr">
        <is>
          <t>Step 1</t>
        </is>
      </c>
      <c r="D3" s="2" t="inlineStr">
        <is>
          <t>Main path (no branch)</t>
        </is>
      </c>
      <c r="E3" s="2" t="n">
        <v>1</v>
      </c>
      <c r="F3" s="2" t="inlineStr">
        <is>
          <t>Branch on one property value</t>
        </is>
      </c>
      <c r="G3" s="2" t="inlineStr">
        <is>
          <t>Branch on one property value (actionTypeId STATIC_BRANCH)</t>
        </is>
      </c>
      <c r="H3" s="2" t="inlineStr">
        <is>
          <t>Branches on SpareFoot (Y/N): true; false; anything else -&gt; ends.</t>
        </is>
      </c>
      <c r="I3" s="2" t="inlineStr">
        <is>
          <t>-</t>
        </is>
      </c>
      <c r="J3" s="2" t="inlineStr">
        <is>
          <t>SpareFoot (Y/N)</t>
        </is>
      </c>
      <c r="K3" s="2" t="inlineStr">
        <is>
          <t>-</t>
        </is>
      </c>
      <c r="L3" s="2" t="inlineStr">
        <is>
          <t>-</t>
        </is>
      </c>
      <c r="M3" s="2" t="inlineStr">
        <is>
          <t>Always (no branch)</t>
        </is>
      </c>
      <c r="N3" s="2" t="inlineStr">
        <is>
          <t>None</t>
        </is>
      </c>
      <c r="O3" s="2" t="inlineStr"/>
      <c r="P3" s="2" t="inlineStr">
        <is>
          <t>First action of each branch (see following rows)</t>
        </is>
      </c>
      <c r="Q3" s="2" t="inlineStr">
        <is>
          <t>Config action 2 (revision 94).</t>
        </is>
      </c>
      <c r="R3" s="2" t="inlineStr"/>
      <c r="S3" s="3" t="inlineStr">
        <is>
          <t>VERIFIED (config)</t>
        </is>
      </c>
    </row>
    <row r="4">
      <c r="A4" s="2" t="inlineStr">
        <is>
          <t>At Risk Monthly Performance Reviews | Marketing Services (UPDATED)</t>
        </is>
      </c>
      <c r="B4" s="2" t="inlineStr">
        <is>
          <t>1892165928</t>
        </is>
      </c>
      <c r="C4" s="2" t="inlineStr">
        <is>
          <t>Step 2</t>
        </is>
      </c>
      <c r="D4" s="2">
        <f> true</f>
        <v/>
      </c>
      <c r="E4" s="2" t="n">
        <v>2</v>
      </c>
      <c r="F4" s="2" t="inlineStr">
        <is>
          <t>Branch on one property value</t>
        </is>
      </c>
      <c r="G4" s="2" t="inlineStr">
        <is>
          <t>Branch on one property value (actionTypeId STATIC_BRANCH)</t>
        </is>
      </c>
      <c r="H4" s="2" t="inlineStr">
        <is>
          <t>Branches on Portfolio Mgr: Brock Hegr; Sarah Schlosberg; Mohammad Abudahab; Not Assigned; anything else -&gt; default branch.</t>
        </is>
      </c>
      <c r="I4" s="2" t="inlineStr">
        <is>
          <t>-</t>
        </is>
      </c>
      <c r="J4" s="2" t="inlineStr">
        <is>
          <t>Portfolio Mgr</t>
        </is>
      </c>
      <c r="K4" s="2" t="inlineStr">
        <is>
          <t>-</t>
        </is>
      </c>
      <c r="L4" s="2" t="inlineStr">
        <is>
          <t>-</t>
        </is>
      </c>
      <c r="M4" s="2">
        <f> true</f>
        <v/>
      </c>
      <c r="N4" s="2" t="inlineStr">
        <is>
          <t>None</t>
        </is>
      </c>
      <c r="O4" s="2" t="inlineStr"/>
      <c r="P4" s="2" t="inlineStr">
        <is>
          <t>First action of each branch (see following rows)</t>
        </is>
      </c>
      <c r="Q4" s="2" t="inlineStr">
        <is>
          <t>Config action 15 (revision 94).</t>
        </is>
      </c>
      <c r="R4" s="2" t="inlineStr"/>
      <c r="S4" s="3" t="inlineStr">
        <is>
          <t>VERIFIED (config)</t>
        </is>
      </c>
    </row>
    <row r="5">
      <c r="A5" s="2" t="inlineStr">
        <is>
          <t>At Risk Monthly Performance Reviews | Marketing Services (UPDATED)</t>
        </is>
      </c>
      <c r="B5" s="2" t="inlineStr">
        <is>
          <t>1892165928</t>
        </is>
      </c>
      <c r="C5" s="2" t="inlineStr">
        <is>
          <t>Step 3</t>
        </is>
      </c>
      <c r="D5" s="2">
        <f> true &gt; = Brock Hegr</f>
        <v/>
      </c>
      <c r="E5" s="2" t="n">
        <v>3</v>
      </c>
      <c r="F5" s="2" t="inlineStr">
        <is>
          <t>Create task</t>
        </is>
      </c>
      <c r="G5" s="2" t="inlineStr">
        <is>
          <t>Create task (actionTypeId 0-3)</t>
        </is>
      </c>
      <c r="H5" s="2" t="inlineStr">
        <is>
          <t>Creates task "Marketing Performance Review" for Brock Hegr, due 45 business day(s) after creation at 08:00.</t>
        </is>
      </c>
      <c r="I5" s="2" t="inlineStr">
        <is>
          <t>Task</t>
        </is>
      </c>
      <c r="J5" s="2" t="inlineStr">
        <is>
          <t>New task "Marketing Performance Review"</t>
        </is>
      </c>
      <c r="K5" s="2" t="inlineStr">
        <is>
          <t>(new record)</t>
        </is>
      </c>
      <c r="L5"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5" s="2">
        <f> true &gt; = Brock Hegr</f>
        <v/>
      </c>
      <c r="N5" s="2" t="inlineStr">
        <is>
          <t>None</t>
        </is>
      </c>
      <c r="O5" s="2" t="inlineStr">
        <is>
          <t>Records: none.</t>
        </is>
      </c>
      <c r="P5" s="2" t="inlineStr">
        <is>
          <t>Step 4</t>
        </is>
      </c>
      <c r="Q5" s="2" t="inlineStr">
        <is>
          <t>Config action 10 (revision 94).</t>
        </is>
      </c>
      <c r="R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5" s="3" t="inlineStr">
        <is>
          <t>VERIFIED (config)</t>
        </is>
      </c>
    </row>
    <row r="6">
      <c r="A6" s="2" t="inlineStr">
        <is>
          <t>At Risk Monthly Performance Reviews | Marketing Services (UPDATED)</t>
        </is>
      </c>
      <c r="B6" s="2" t="inlineStr">
        <is>
          <t>1892165928</t>
        </is>
      </c>
      <c r="C6" s="2" t="inlineStr">
        <is>
          <t>Step 4</t>
        </is>
      </c>
      <c r="D6" s="2">
        <f> true &gt; = Brock Hegr</f>
        <v/>
      </c>
      <c r="E6" s="2" t="n">
        <v>4</v>
      </c>
      <c r="F6" s="2" t="inlineStr">
        <is>
          <t>Delay</t>
        </is>
      </c>
      <c r="G6" s="2" t="inlineStr">
        <is>
          <t>Delay (actionTypeId 0-1)</t>
        </is>
      </c>
      <c r="H6" s="2" t="inlineStr">
        <is>
          <t>Waits 64800 minutes (= 45 days).</t>
        </is>
      </c>
      <c r="I6" s="2" t="inlineStr">
        <is>
          <t>-</t>
        </is>
      </c>
      <c r="J6" s="2" t="inlineStr">
        <is>
          <t>-</t>
        </is>
      </c>
      <c r="K6" s="2" t="inlineStr">
        <is>
          <t>-</t>
        </is>
      </c>
      <c r="L6" s="2" t="inlineStr">
        <is>
          <t>-</t>
        </is>
      </c>
      <c r="M6" s="2">
        <f> true &gt; = Brock Hegr</f>
        <v/>
      </c>
      <c r="N6" s="2" t="inlineStr">
        <is>
          <t>This is a delay</t>
        </is>
      </c>
      <c r="O6" s="2" t="inlineStr"/>
      <c r="P6" s="2" t="inlineStr">
        <is>
          <t>End</t>
        </is>
      </c>
      <c r="Q6" s="2" t="inlineStr">
        <is>
          <t>Config action 82 (revision 94).</t>
        </is>
      </c>
      <c r="R6" s="2" t="inlineStr"/>
      <c r="S6" s="3" t="inlineStr">
        <is>
          <t>VERIFIED (config)</t>
        </is>
      </c>
    </row>
    <row r="7">
      <c r="A7" s="2" t="inlineStr">
        <is>
          <t>At Risk Monthly Performance Reviews | Marketing Services (UPDATED)</t>
        </is>
      </c>
      <c r="B7" s="2" t="inlineStr">
        <is>
          <t>1892165928</t>
        </is>
      </c>
      <c r="C7" s="2" t="inlineStr">
        <is>
          <t>End</t>
        </is>
      </c>
      <c r="D7" s="2">
        <f> true &gt; = Brock Hegr</f>
        <v/>
      </c>
      <c r="E7" s="2" t="inlineStr">
        <is>
          <t>-</t>
        </is>
      </c>
      <c r="F7" s="2" t="inlineStr">
        <is>
          <t>End</t>
        </is>
      </c>
      <c r="G7" s="2" t="inlineStr">
        <is>
          <t>End of workflow</t>
        </is>
      </c>
      <c r="H7" s="2" t="inlineStr">
        <is>
          <t>Workflow ends for this record.</t>
        </is>
      </c>
      <c r="I7" s="2" t="inlineStr">
        <is>
          <t>-</t>
        </is>
      </c>
      <c r="J7" s="2" t="inlineStr">
        <is>
          <t>-</t>
        </is>
      </c>
      <c r="K7" s="2" t="inlineStr">
        <is>
          <t>-</t>
        </is>
      </c>
      <c r="L7" s="2" t="inlineStr">
        <is>
          <t>-</t>
        </is>
      </c>
      <c r="M7" s="2">
        <f> true &gt; = Brock Hegr</f>
        <v/>
      </c>
      <c r="N7" s="2" t="inlineStr">
        <is>
          <t>None</t>
        </is>
      </c>
      <c r="O7" s="2" t="inlineStr">
        <is>
          <t>Record leaves the workflow</t>
        </is>
      </c>
      <c r="P7" s="2" t="inlineStr">
        <is>
          <t>No in-scope workflow is triggered by this workflow.</t>
        </is>
      </c>
      <c r="Q7" s="2" t="inlineStr">
        <is>
          <t>Workflow config</t>
        </is>
      </c>
      <c r="R7" s="2" t="inlineStr"/>
      <c r="S7" s="3" t="inlineStr">
        <is>
          <t>VERIFIED (config)</t>
        </is>
      </c>
    </row>
    <row r="8">
      <c r="A8" s="2" t="inlineStr">
        <is>
          <t>At Risk Monthly Performance Reviews | Marketing Services (UPDATED)</t>
        </is>
      </c>
      <c r="B8" s="2" t="inlineStr">
        <is>
          <t>1892165928</t>
        </is>
      </c>
      <c r="C8" s="2" t="inlineStr">
        <is>
          <t>Step 5</t>
        </is>
      </c>
      <c r="D8" s="2">
        <f> true &gt; = Sarah Schlosberg</f>
        <v/>
      </c>
      <c r="E8" s="2" t="n">
        <v>5</v>
      </c>
      <c r="F8" s="2" t="inlineStr">
        <is>
          <t>Create task</t>
        </is>
      </c>
      <c r="G8" s="2" t="inlineStr">
        <is>
          <t>Create task (actionTypeId 0-3)</t>
        </is>
      </c>
      <c r="H8" s="2" t="inlineStr">
        <is>
          <t>Creates task "Marketing Performance Review" for Sarah Schlosberg, due 45 business day(s) after creation at 08:00.</t>
        </is>
      </c>
      <c r="I8" s="2" t="inlineStr">
        <is>
          <t>Task</t>
        </is>
      </c>
      <c r="J8" s="2" t="inlineStr">
        <is>
          <t>New task "Marketing Performance Review"</t>
        </is>
      </c>
      <c r="K8" s="2" t="inlineStr">
        <is>
          <t>(new record)</t>
        </is>
      </c>
      <c r="L8"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8" s="2">
        <f> true &gt; = Sarah Schlosberg</f>
        <v/>
      </c>
      <c r="N8" s="2" t="inlineStr">
        <is>
          <t>None</t>
        </is>
      </c>
      <c r="O8" s="2" t="inlineStr">
        <is>
          <t>Records: none.</t>
        </is>
      </c>
      <c r="P8" s="2" t="inlineStr">
        <is>
          <t>Step 6</t>
        </is>
      </c>
      <c r="Q8" s="2" t="inlineStr">
        <is>
          <t>Config action 47 (revision 94).</t>
        </is>
      </c>
      <c r="R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8" s="3" t="inlineStr">
        <is>
          <t>VERIFIED (config)</t>
        </is>
      </c>
    </row>
    <row r="9">
      <c r="A9" s="2" t="inlineStr">
        <is>
          <t>At Risk Monthly Performance Reviews | Marketing Services (UPDATED)</t>
        </is>
      </c>
      <c r="B9" s="2" t="inlineStr">
        <is>
          <t>1892165928</t>
        </is>
      </c>
      <c r="C9" s="2" t="inlineStr">
        <is>
          <t>Step 6</t>
        </is>
      </c>
      <c r="D9" s="2">
        <f> true &gt; = Sarah Schlosberg</f>
        <v/>
      </c>
      <c r="E9" s="2" t="n">
        <v>6</v>
      </c>
      <c r="F9" s="2" t="inlineStr">
        <is>
          <t>Delay</t>
        </is>
      </c>
      <c r="G9" s="2" t="inlineStr">
        <is>
          <t>Delay (actionTypeId 0-1)</t>
        </is>
      </c>
      <c r="H9" s="2" t="inlineStr">
        <is>
          <t>Waits 64800 minutes (= 45 days).</t>
        </is>
      </c>
      <c r="I9" s="2" t="inlineStr">
        <is>
          <t>-</t>
        </is>
      </c>
      <c r="J9" s="2" t="inlineStr">
        <is>
          <t>-</t>
        </is>
      </c>
      <c r="K9" s="2" t="inlineStr">
        <is>
          <t>-</t>
        </is>
      </c>
      <c r="L9" s="2" t="inlineStr">
        <is>
          <t>-</t>
        </is>
      </c>
      <c r="M9" s="2">
        <f> true &gt; = Sarah Schlosberg</f>
        <v/>
      </c>
      <c r="N9" s="2" t="inlineStr">
        <is>
          <t>This is a delay</t>
        </is>
      </c>
      <c r="O9" s="2" t="inlineStr"/>
      <c r="P9" s="2" t="inlineStr">
        <is>
          <t>End</t>
        </is>
      </c>
      <c r="Q9" s="2" t="inlineStr">
        <is>
          <t>Config action 84 (revision 94).</t>
        </is>
      </c>
      <c r="R9" s="2" t="inlineStr"/>
      <c r="S9" s="3" t="inlineStr">
        <is>
          <t>VERIFIED (config)</t>
        </is>
      </c>
    </row>
    <row r="10">
      <c r="A10" s="2" t="inlineStr">
        <is>
          <t>At Risk Monthly Performance Reviews | Marketing Services (UPDATED)</t>
        </is>
      </c>
      <c r="B10" s="2" t="inlineStr">
        <is>
          <t>1892165928</t>
        </is>
      </c>
      <c r="C10" s="2" t="inlineStr">
        <is>
          <t>End</t>
        </is>
      </c>
      <c r="D10" s="2">
        <f> true &gt; = Sarah Schlosberg</f>
        <v/>
      </c>
      <c r="E10" s="2" t="inlineStr">
        <is>
          <t>-</t>
        </is>
      </c>
      <c r="F10" s="2" t="inlineStr">
        <is>
          <t>End</t>
        </is>
      </c>
      <c r="G10" s="2" t="inlineStr">
        <is>
          <t>End of workflow</t>
        </is>
      </c>
      <c r="H10" s="2" t="inlineStr">
        <is>
          <t>Workflow ends for this record.</t>
        </is>
      </c>
      <c r="I10" s="2" t="inlineStr">
        <is>
          <t>-</t>
        </is>
      </c>
      <c r="J10" s="2" t="inlineStr">
        <is>
          <t>-</t>
        </is>
      </c>
      <c r="K10" s="2" t="inlineStr">
        <is>
          <t>-</t>
        </is>
      </c>
      <c r="L10" s="2" t="inlineStr">
        <is>
          <t>-</t>
        </is>
      </c>
      <c r="M10" s="2">
        <f> true &gt; = Sarah Schlosberg</f>
        <v/>
      </c>
      <c r="N10" s="2" t="inlineStr">
        <is>
          <t>None</t>
        </is>
      </c>
      <c r="O10" s="2" t="inlineStr">
        <is>
          <t>Record leaves the workflow</t>
        </is>
      </c>
      <c r="P10" s="2" t="inlineStr">
        <is>
          <t>No in-scope workflow is triggered by this workflow.</t>
        </is>
      </c>
      <c r="Q10" s="2" t="inlineStr">
        <is>
          <t>Workflow config</t>
        </is>
      </c>
      <c r="R10" s="2" t="inlineStr"/>
      <c r="S10" s="3" t="inlineStr">
        <is>
          <t>VERIFIED (config)</t>
        </is>
      </c>
    </row>
    <row r="11">
      <c r="A11" s="2" t="inlineStr">
        <is>
          <t>At Risk Monthly Performance Reviews | Marketing Services (UPDATED)</t>
        </is>
      </c>
      <c r="B11" s="2" t="inlineStr">
        <is>
          <t>1892165928</t>
        </is>
      </c>
      <c r="C11" s="2" t="inlineStr">
        <is>
          <t>Step 7</t>
        </is>
      </c>
      <c r="D11" s="2">
        <f> true &gt; = Mohammad Abudahab</f>
        <v/>
      </c>
      <c r="E11" s="2" t="n">
        <v>7</v>
      </c>
      <c r="F11" s="2" t="inlineStr">
        <is>
          <t>Create task</t>
        </is>
      </c>
      <c r="G11" s="2" t="inlineStr">
        <is>
          <t>Create task (actionTypeId 0-3)</t>
        </is>
      </c>
      <c r="H11" s="2" t="inlineStr">
        <is>
          <t>Creates task "Marketing Performance Review" for Mohammad Abudahab, due 45 business day(s) after creation at 08:00.</t>
        </is>
      </c>
      <c r="I11" s="2" t="inlineStr">
        <is>
          <t>Task</t>
        </is>
      </c>
      <c r="J11" s="2" t="inlineStr">
        <is>
          <t>New task "Marketing Performance Review"</t>
        </is>
      </c>
      <c r="K11" s="2" t="inlineStr">
        <is>
          <t>(new record)</t>
        </is>
      </c>
      <c r="L11"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11" s="2">
        <f> true &gt; = Mohammad Abudahab</f>
        <v/>
      </c>
      <c r="N11" s="2" t="inlineStr">
        <is>
          <t>None</t>
        </is>
      </c>
      <c r="O11" s="2" t="inlineStr">
        <is>
          <t>Records: none.</t>
        </is>
      </c>
      <c r="P11" s="2" t="inlineStr">
        <is>
          <t>Step 8</t>
        </is>
      </c>
      <c r="Q11" s="2" t="inlineStr">
        <is>
          <t>Config action 49 (revision 94).</t>
        </is>
      </c>
      <c r="R11"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11" s="3" t="inlineStr">
        <is>
          <t>VERIFIED (config)</t>
        </is>
      </c>
    </row>
    <row r="12">
      <c r="A12" s="2" t="inlineStr">
        <is>
          <t>At Risk Monthly Performance Reviews | Marketing Services (UPDATED)</t>
        </is>
      </c>
      <c r="B12" s="2" t="inlineStr">
        <is>
          <t>1892165928</t>
        </is>
      </c>
      <c r="C12" s="2" t="inlineStr">
        <is>
          <t>Step 8</t>
        </is>
      </c>
      <c r="D12" s="2">
        <f> true &gt; = Mohammad Abudahab</f>
        <v/>
      </c>
      <c r="E12" s="2" t="n">
        <v>8</v>
      </c>
      <c r="F12" s="2" t="inlineStr">
        <is>
          <t>Delay</t>
        </is>
      </c>
      <c r="G12" s="2" t="inlineStr">
        <is>
          <t>Delay (actionTypeId 0-1)</t>
        </is>
      </c>
      <c r="H12" s="2" t="inlineStr">
        <is>
          <t>Waits 64800 minutes (= 45 days).</t>
        </is>
      </c>
      <c r="I12" s="2" t="inlineStr">
        <is>
          <t>-</t>
        </is>
      </c>
      <c r="J12" s="2" t="inlineStr">
        <is>
          <t>-</t>
        </is>
      </c>
      <c r="K12" s="2" t="inlineStr">
        <is>
          <t>-</t>
        </is>
      </c>
      <c r="L12" s="2" t="inlineStr">
        <is>
          <t>-</t>
        </is>
      </c>
      <c r="M12" s="2">
        <f> true &gt; = Mohammad Abudahab</f>
        <v/>
      </c>
      <c r="N12" s="2" t="inlineStr">
        <is>
          <t>This is a delay</t>
        </is>
      </c>
      <c r="O12" s="2" t="inlineStr"/>
      <c r="P12" s="2" t="inlineStr">
        <is>
          <t>End</t>
        </is>
      </c>
      <c r="Q12" s="2" t="inlineStr">
        <is>
          <t>Config action 50 (revision 94).</t>
        </is>
      </c>
      <c r="R12" s="2" t="inlineStr"/>
      <c r="S12" s="3" t="inlineStr">
        <is>
          <t>VERIFIED (config)</t>
        </is>
      </c>
    </row>
    <row r="13">
      <c r="A13" s="2" t="inlineStr">
        <is>
          <t>At Risk Monthly Performance Reviews | Marketing Services (UPDATED)</t>
        </is>
      </c>
      <c r="B13" s="2" t="inlineStr">
        <is>
          <t>1892165928</t>
        </is>
      </c>
      <c r="C13" s="2" t="inlineStr">
        <is>
          <t>End</t>
        </is>
      </c>
      <c r="D13" s="2">
        <f> true &gt; = Mohammad Abudahab</f>
        <v/>
      </c>
      <c r="E13" s="2" t="inlineStr">
        <is>
          <t>-</t>
        </is>
      </c>
      <c r="F13" s="2" t="inlineStr">
        <is>
          <t>End</t>
        </is>
      </c>
      <c r="G13" s="2" t="inlineStr">
        <is>
          <t>End of workflow</t>
        </is>
      </c>
      <c r="H13" s="2" t="inlineStr">
        <is>
          <t>Workflow ends for this record.</t>
        </is>
      </c>
      <c r="I13" s="2" t="inlineStr">
        <is>
          <t>-</t>
        </is>
      </c>
      <c r="J13" s="2" t="inlineStr">
        <is>
          <t>-</t>
        </is>
      </c>
      <c r="K13" s="2" t="inlineStr">
        <is>
          <t>-</t>
        </is>
      </c>
      <c r="L13" s="2" t="inlineStr">
        <is>
          <t>-</t>
        </is>
      </c>
      <c r="M13" s="2">
        <f> true &gt; = Mohammad Abudahab</f>
        <v/>
      </c>
      <c r="N13" s="2" t="inlineStr">
        <is>
          <t>None</t>
        </is>
      </c>
      <c r="O13" s="2" t="inlineStr">
        <is>
          <t>Record leaves the workflow</t>
        </is>
      </c>
      <c r="P13" s="2" t="inlineStr">
        <is>
          <t>No in-scope workflow is triggered by this workflow.</t>
        </is>
      </c>
      <c r="Q13" s="2" t="inlineStr">
        <is>
          <t>Workflow config</t>
        </is>
      </c>
      <c r="R13" s="2" t="inlineStr"/>
      <c r="S13" s="3" t="inlineStr">
        <is>
          <t>VERIFIED (config)</t>
        </is>
      </c>
    </row>
    <row r="14">
      <c r="A14" s="2" t="inlineStr">
        <is>
          <t>At Risk Monthly Performance Reviews | Marketing Services (UPDATED)</t>
        </is>
      </c>
      <c r="B14" s="2" t="inlineStr">
        <is>
          <t>1892165928</t>
        </is>
      </c>
      <c r="C14" s="2" t="inlineStr">
        <is>
          <t>Step 9</t>
        </is>
      </c>
      <c r="D14" s="2">
        <f> true &gt; = Not Assigned</f>
        <v/>
      </c>
      <c r="E14" s="2" t="n">
        <v>9</v>
      </c>
      <c r="F14" s="2" t="inlineStr">
        <is>
          <t>Create task</t>
        </is>
      </c>
      <c r="G14" s="2" t="inlineStr">
        <is>
          <t>Create task (actionTypeId 0-3)</t>
        </is>
      </c>
      <c r="H14" s="2" t="inlineStr">
        <is>
          <t>Creates task "Marketing Performance Review" for No owner set, due 45 business day(s) after creation at 08:00.</t>
        </is>
      </c>
      <c r="I14" s="2" t="inlineStr">
        <is>
          <t>Task</t>
        </is>
      </c>
      <c r="J14" s="2" t="inlineStr">
        <is>
          <t>New task "Marketing Performance Review"</t>
        </is>
      </c>
      <c r="K14" s="2" t="inlineStr">
        <is>
          <t>(new record)</t>
        </is>
      </c>
      <c r="L14"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14" s="2">
        <f> true &gt; = Not Assigned</f>
        <v/>
      </c>
      <c r="N14" s="2" t="inlineStr">
        <is>
          <t>None</t>
        </is>
      </c>
      <c r="O14" s="2" t="inlineStr">
        <is>
          <t>Records: none.</t>
        </is>
      </c>
      <c r="P14" s="2" t="inlineStr">
        <is>
          <t>Step 10</t>
        </is>
      </c>
      <c r="Q14" s="2" t="inlineStr">
        <is>
          <t>Config action 51 (revision 94).</t>
        </is>
      </c>
      <c r="R14"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14" s="3" t="inlineStr">
        <is>
          <t>VERIFIED (config)</t>
        </is>
      </c>
    </row>
    <row r="15">
      <c r="A15" s="2" t="inlineStr">
        <is>
          <t>At Risk Monthly Performance Reviews | Marketing Services (UPDATED)</t>
        </is>
      </c>
      <c r="B15" s="2" t="inlineStr">
        <is>
          <t>1892165928</t>
        </is>
      </c>
      <c r="C15" s="2" t="inlineStr">
        <is>
          <t>Step 10</t>
        </is>
      </c>
      <c r="D15" s="2">
        <f> true &gt; = Not Assigned</f>
        <v/>
      </c>
      <c r="E15" s="2" t="n">
        <v>10</v>
      </c>
      <c r="F15" s="2" t="inlineStr">
        <is>
          <t>Delay</t>
        </is>
      </c>
      <c r="G15" s="2" t="inlineStr">
        <is>
          <t>Delay (actionTypeId 0-1)</t>
        </is>
      </c>
      <c r="H15" s="2" t="inlineStr">
        <is>
          <t>Waits 64800 minutes (= 45 days).</t>
        </is>
      </c>
      <c r="I15" s="2" t="inlineStr">
        <is>
          <t>-</t>
        </is>
      </c>
      <c r="J15" s="2" t="inlineStr">
        <is>
          <t>-</t>
        </is>
      </c>
      <c r="K15" s="2" t="inlineStr">
        <is>
          <t>-</t>
        </is>
      </c>
      <c r="L15" s="2" t="inlineStr">
        <is>
          <t>-</t>
        </is>
      </c>
      <c r="M15" s="2">
        <f> true &gt; = Not Assigned</f>
        <v/>
      </c>
      <c r="N15" s="2" t="inlineStr">
        <is>
          <t>This is a delay</t>
        </is>
      </c>
      <c r="O15" s="2" t="inlineStr"/>
      <c r="P15" s="2" t="inlineStr">
        <is>
          <t>End</t>
        </is>
      </c>
      <c r="Q15" s="2" t="inlineStr">
        <is>
          <t>Config action 86 (revision 94).</t>
        </is>
      </c>
      <c r="R15" s="2" t="inlineStr"/>
      <c r="S15" s="3" t="inlineStr">
        <is>
          <t>VERIFIED (config)</t>
        </is>
      </c>
    </row>
    <row r="16">
      <c r="A16" s="2" t="inlineStr">
        <is>
          <t>At Risk Monthly Performance Reviews | Marketing Services (UPDATED)</t>
        </is>
      </c>
      <c r="B16" s="2" t="inlineStr">
        <is>
          <t>1892165928</t>
        </is>
      </c>
      <c r="C16" s="2" t="inlineStr">
        <is>
          <t>End</t>
        </is>
      </c>
      <c r="D16" s="2">
        <f> true &gt; = Not Assigned</f>
        <v/>
      </c>
      <c r="E16" s="2" t="inlineStr">
        <is>
          <t>-</t>
        </is>
      </c>
      <c r="F16" s="2" t="inlineStr">
        <is>
          <t>End</t>
        </is>
      </c>
      <c r="G16" s="2" t="inlineStr">
        <is>
          <t>End of workflow</t>
        </is>
      </c>
      <c r="H16" s="2" t="inlineStr">
        <is>
          <t>Workflow ends for this record.</t>
        </is>
      </c>
      <c r="I16" s="2" t="inlineStr">
        <is>
          <t>-</t>
        </is>
      </c>
      <c r="J16" s="2" t="inlineStr">
        <is>
          <t>-</t>
        </is>
      </c>
      <c r="K16" s="2" t="inlineStr">
        <is>
          <t>-</t>
        </is>
      </c>
      <c r="L16" s="2" t="inlineStr">
        <is>
          <t>-</t>
        </is>
      </c>
      <c r="M16" s="2">
        <f> true &gt; = Not Assigned</f>
        <v/>
      </c>
      <c r="N16" s="2" t="inlineStr">
        <is>
          <t>None</t>
        </is>
      </c>
      <c r="O16" s="2" t="inlineStr">
        <is>
          <t>Record leaves the workflow</t>
        </is>
      </c>
      <c r="P16" s="2" t="inlineStr">
        <is>
          <t>No in-scope workflow is triggered by this workflow.</t>
        </is>
      </c>
      <c r="Q16" s="2" t="inlineStr">
        <is>
          <t>Workflow config</t>
        </is>
      </c>
      <c r="R16" s="2" t="inlineStr"/>
      <c r="S16" s="3" t="inlineStr">
        <is>
          <t>VERIFIED (config)</t>
        </is>
      </c>
    </row>
    <row r="17">
      <c r="A17" s="2" t="inlineStr">
        <is>
          <t>At Risk Monthly Performance Reviews | Marketing Services (UPDATED)</t>
        </is>
      </c>
      <c r="B17" s="2" t="inlineStr">
        <is>
          <t>1892165928</t>
        </is>
      </c>
      <c r="C17" s="2" t="inlineStr">
        <is>
          <t>Go to</t>
        </is>
      </c>
      <c r="D17" s="2">
        <f> true &gt; any other value</f>
        <v/>
      </c>
      <c r="E17" s="2" t="inlineStr">
        <is>
          <t>-</t>
        </is>
      </c>
      <c r="F17" s="2" t="inlineStr">
        <is>
          <t>Go to action</t>
        </is>
      </c>
      <c r="G17" s="2" t="inlineStr">
        <is>
          <t>Branch rejoins</t>
        </is>
      </c>
      <c r="H17" s="2" t="inlineStr">
        <is>
          <t>Continues at step 9.</t>
        </is>
      </c>
      <c r="I17" s="2" t="inlineStr">
        <is>
          <t>-</t>
        </is>
      </c>
      <c r="J17" s="2" t="inlineStr">
        <is>
          <t>-</t>
        </is>
      </c>
      <c r="K17" s="2" t="inlineStr">
        <is>
          <t>-</t>
        </is>
      </c>
      <c r="L17" s="2" t="inlineStr">
        <is>
          <t>-</t>
        </is>
      </c>
      <c r="M17" s="2">
        <f> true &gt; any other value</f>
        <v/>
      </c>
      <c r="N17" s="2" t="inlineStr">
        <is>
          <t>None</t>
        </is>
      </c>
      <c r="O17" s="2" t="inlineStr">
        <is>
          <t>-</t>
        </is>
      </c>
      <c r="P17" s="2" t="inlineStr">
        <is>
          <t>Step 9</t>
        </is>
      </c>
      <c r="Q17" s="2" t="inlineStr">
        <is>
          <t>Workflow config</t>
        </is>
      </c>
      <c r="R17" s="2" t="inlineStr"/>
      <c r="S17" s="3" t="inlineStr">
        <is>
          <t>VERIFIED (config)</t>
        </is>
      </c>
    </row>
    <row r="18">
      <c r="A18" s="2" t="inlineStr">
        <is>
          <t>At Risk Monthly Performance Reviews | Marketing Services (UPDATED)</t>
        </is>
      </c>
      <c r="B18" s="2" t="inlineStr">
        <is>
          <t>1892165928</t>
        </is>
      </c>
      <c r="C18" s="2" t="inlineStr">
        <is>
          <t>Step 11</t>
        </is>
      </c>
      <c r="D18" s="2">
        <f> false</f>
        <v/>
      </c>
      <c r="E18" s="2" t="n">
        <v>11</v>
      </c>
      <c r="F18" s="2" t="inlineStr">
        <is>
          <t>Branch on one property value</t>
        </is>
      </c>
      <c r="G18" s="2" t="inlineStr">
        <is>
          <t>Branch on one property value (actionTypeId STATIC_BRANCH)</t>
        </is>
      </c>
      <c r="H18" s="2" t="inlineStr">
        <is>
          <t>Branches on Portfolio Mgr: Brock Hegr; Sarah Schlosberg; Mohammad Abudahab; Not Assigned; anything else -&gt; default branch.</t>
        </is>
      </c>
      <c r="I18" s="2" t="inlineStr">
        <is>
          <t>-</t>
        </is>
      </c>
      <c r="J18" s="2" t="inlineStr">
        <is>
          <t>Portfolio Mgr</t>
        </is>
      </c>
      <c r="K18" s="2" t="inlineStr">
        <is>
          <t>-</t>
        </is>
      </c>
      <c r="L18" s="2" t="inlineStr">
        <is>
          <t>-</t>
        </is>
      </c>
      <c r="M18" s="2">
        <f> false</f>
        <v/>
      </c>
      <c r="N18" s="2" t="inlineStr">
        <is>
          <t>None</t>
        </is>
      </c>
      <c r="O18" s="2" t="inlineStr"/>
      <c r="P18" s="2" t="inlineStr">
        <is>
          <t>First action of each branch (see following rows)</t>
        </is>
      </c>
      <c r="Q18" s="2" t="inlineStr">
        <is>
          <t>Config action 16 (revision 94).</t>
        </is>
      </c>
      <c r="R18" s="2" t="inlineStr"/>
      <c r="S18" s="3" t="inlineStr">
        <is>
          <t>VERIFIED (config)</t>
        </is>
      </c>
    </row>
    <row r="19">
      <c r="A19" s="2" t="inlineStr">
        <is>
          <t>At Risk Monthly Performance Reviews | Marketing Services (UPDATED)</t>
        </is>
      </c>
      <c r="B19" s="2" t="inlineStr">
        <is>
          <t>1892165928</t>
        </is>
      </c>
      <c r="C19" s="2" t="inlineStr">
        <is>
          <t>Step 12</t>
        </is>
      </c>
      <c r="D19" s="2">
        <f> false &gt; = Brock Hegr</f>
        <v/>
      </c>
      <c r="E19" s="2" t="n">
        <v>12</v>
      </c>
      <c r="F19" s="2" t="inlineStr">
        <is>
          <t>Create task</t>
        </is>
      </c>
      <c r="G19" s="2" t="inlineStr">
        <is>
          <t>Create task (actionTypeId 0-3)</t>
        </is>
      </c>
      <c r="H19" s="2" t="inlineStr">
        <is>
          <t>Creates task "Marketing Performance Review" for Brock Hegr, due 45 business day(s) after creation at 08:00.</t>
        </is>
      </c>
      <c r="I19" s="2" t="inlineStr">
        <is>
          <t>Task</t>
        </is>
      </c>
      <c r="J19" s="2" t="inlineStr">
        <is>
          <t>New task "Marketing Performance Review"</t>
        </is>
      </c>
      <c r="K19" s="2" t="inlineStr">
        <is>
          <t>(new record)</t>
        </is>
      </c>
      <c r="L19"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19" s="2">
        <f> false &gt; = Brock Hegr</f>
        <v/>
      </c>
      <c r="N19" s="2" t="inlineStr">
        <is>
          <t>None</t>
        </is>
      </c>
      <c r="O19" s="2" t="inlineStr">
        <is>
          <t>Records: none.</t>
        </is>
      </c>
      <c r="P19" s="2" t="inlineStr">
        <is>
          <t>Step 13</t>
        </is>
      </c>
      <c r="Q19" s="2" t="inlineStr">
        <is>
          <t>Config action 53 (revision 94).</t>
        </is>
      </c>
      <c r="R19"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19" s="3" t="inlineStr">
        <is>
          <t>VERIFIED (config)</t>
        </is>
      </c>
    </row>
    <row r="20">
      <c r="A20" s="2" t="inlineStr">
        <is>
          <t>At Risk Monthly Performance Reviews | Marketing Services (UPDATED)</t>
        </is>
      </c>
      <c r="B20" s="2" t="inlineStr">
        <is>
          <t>1892165928</t>
        </is>
      </c>
      <c r="C20" s="2" t="inlineStr">
        <is>
          <t>Step 13</t>
        </is>
      </c>
      <c r="D20" s="2">
        <f> false &gt; = Brock Hegr</f>
        <v/>
      </c>
      <c r="E20" s="2" t="n">
        <v>13</v>
      </c>
      <c r="F20" s="2" t="inlineStr">
        <is>
          <t>Delay</t>
        </is>
      </c>
      <c r="G20" s="2" t="inlineStr">
        <is>
          <t>Delay (actionTypeId 0-1)</t>
        </is>
      </c>
      <c r="H20" s="2" t="inlineStr">
        <is>
          <t>Waits 64800 minutes (= 45 days).</t>
        </is>
      </c>
      <c r="I20" s="2" t="inlineStr">
        <is>
          <t>-</t>
        </is>
      </c>
      <c r="J20" s="2" t="inlineStr">
        <is>
          <t>-</t>
        </is>
      </c>
      <c r="K20" s="2" t="inlineStr">
        <is>
          <t>-</t>
        </is>
      </c>
      <c r="L20" s="2" t="inlineStr">
        <is>
          <t>-</t>
        </is>
      </c>
      <c r="M20" s="2">
        <f> false &gt; = Brock Hegr</f>
        <v/>
      </c>
      <c r="N20" s="2" t="inlineStr">
        <is>
          <t>This is a delay</t>
        </is>
      </c>
      <c r="O20" s="2" t="inlineStr"/>
      <c r="P20" s="2" t="inlineStr">
        <is>
          <t>End</t>
        </is>
      </c>
      <c r="Q20" s="2" t="inlineStr">
        <is>
          <t>Config action 88 (revision 94).</t>
        </is>
      </c>
      <c r="R20" s="2" t="inlineStr"/>
      <c r="S20" s="3" t="inlineStr">
        <is>
          <t>VERIFIED (config)</t>
        </is>
      </c>
    </row>
    <row r="21">
      <c r="A21" s="2" t="inlineStr">
        <is>
          <t>At Risk Monthly Performance Reviews | Marketing Services (UPDATED)</t>
        </is>
      </c>
      <c r="B21" s="2" t="inlineStr">
        <is>
          <t>1892165928</t>
        </is>
      </c>
      <c r="C21" s="2" t="inlineStr">
        <is>
          <t>End</t>
        </is>
      </c>
      <c r="D21" s="2">
        <f> false &gt; = Brock Hegr</f>
        <v/>
      </c>
      <c r="E21" s="2" t="inlineStr">
        <is>
          <t>-</t>
        </is>
      </c>
      <c r="F21" s="2" t="inlineStr">
        <is>
          <t>End</t>
        </is>
      </c>
      <c r="G21" s="2" t="inlineStr">
        <is>
          <t>End of workflow</t>
        </is>
      </c>
      <c r="H21" s="2" t="inlineStr">
        <is>
          <t>Workflow ends for this record.</t>
        </is>
      </c>
      <c r="I21" s="2" t="inlineStr">
        <is>
          <t>-</t>
        </is>
      </c>
      <c r="J21" s="2" t="inlineStr">
        <is>
          <t>-</t>
        </is>
      </c>
      <c r="K21" s="2" t="inlineStr">
        <is>
          <t>-</t>
        </is>
      </c>
      <c r="L21" s="2" t="inlineStr">
        <is>
          <t>-</t>
        </is>
      </c>
      <c r="M21" s="2">
        <f> false &gt; = Brock Hegr</f>
        <v/>
      </c>
      <c r="N21" s="2" t="inlineStr">
        <is>
          <t>None</t>
        </is>
      </c>
      <c r="O21" s="2" t="inlineStr">
        <is>
          <t>Record leaves the workflow</t>
        </is>
      </c>
      <c r="P21" s="2" t="inlineStr">
        <is>
          <t>No in-scope workflow is triggered by this workflow.</t>
        </is>
      </c>
      <c r="Q21" s="2" t="inlineStr">
        <is>
          <t>Workflow config</t>
        </is>
      </c>
      <c r="R21" s="2" t="inlineStr"/>
      <c r="S21" s="3" t="inlineStr">
        <is>
          <t>VERIFIED (config)</t>
        </is>
      </c>
    </row>
    <row r="22">
      <c r="A22" s="2" t="inlineStr">
        <is>
          <t>At Risk Monthly Performance Reviews | Marketing Services (UPDATED)</t>
        </is>
      </c>
      <c r="B22" s="2" t="inlineStr">
        <is>
          <t>1892165928</t>
        </is>
      </c>
      <c r="C22" s="2" t="inlineStr">
        <is>
          <t>Step 14</t>
        </is>
      </c>
      <c r="D22" s="2">
        <f> false &gt; = Sarah Schlosberg</f>
        <v/>
      </c>
      <c r="E22" s="2" t="n">
        <v>14</v>
      </c>
      <c r="F22" s="2" t="inlineStr">
        <is>
          <t>Create task</t>
        </is>
      </c>
      <c r="G22" s="2" t="inlineStr">
        <is>
          <t>Create task (actionTypeId 0-3)</t>
        </is>
      </c>
      <c r="H22" s="2" t="inlineStr">
        <is>
          <t>Creates task "Marketing Performance Review" for Sarah Schlosberg, due 45 business day(s) after creation at 08:00.</t>
        </is>
      </c>
      <c r="I22" s="2" t="inlineStr">
        <is>
          <t>Task</t>
        </is>
      </c>
      <c r="J22" s="2" t="inlineStr">
        <is>
          <t>New task "Marketing Performance Review"</t>
        </is>
      </c>
      <c r="K22" s="2" t="inlineStr">
        <is>
          <t>(new record)</t>
        </is>
      </c>
      <c r="L22"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22" s="2">
        <f> false &gt; = Sarah Schlosberg</f>
        <v/>
      </c>
      <c r="N22" s="2" t="inlineStr">
        <is>
          <t>None</t>
        </is>
      </c>
      <c r="O22" s="2" t="inlineStr">
        <is>
          <t>Records: none.</t>
        </is>
      </c>
      <c r="P22" s="2" t="inlineStr">
        <is>
          <t>Step 15</t>
        </is>
      </c>
      <c r="Q22" s="2" t="inlineStr">
        <is>
          <t>Config action 55 (revision 94).</t>
        </is>
      </c>
      <c r="R22"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22" s="3" t="inlineStr">
        <is>
          <t>VERIFIED (config)</t>
        </is>
      </c>
    </row>
    <row r="23">
      <c r="A23" s="2" t="inlineStr">
        <is>
          <t>At Risk Monthly Performance Reviews | Marketing Services (UPDATED)</t>
        </is>
      </c>
      <c r="B23" s="2" t="inlineStr">
        <is>
          <t>1892165928</t>
        </is>
      </c>
      <c r="C23" s="2" t="inlineStr">
        <is>
          <t>Step 15</t>
        </is>
      </c>
      <c r="D23" s="2">
        <f> false &gt; = Sarah Schlosberg</f>
        <v/>
      </c>
      <c r="E23" s="2" t="n">
        <v>15</v>
      </c>
      <c r="F23" s="2" t="inlineStr">
        <is>
          <t>Delay</t>
        </is>
      </c>
      <c r="G23" s="2" t="inlineStr">
        <is>
          <t>Delay (actionTypeId 0-1)</t>
        </is>
      </c>
      <c r="H23" s="2" t="inlineStr">
        <is>
          <t>Waits 64800 minutes (= 45 days).</t>
        </is>
      </c>
      <c r="I23" s="2" t="inlineStr">
        <is>
          <t>-</t>
        </is>
      </c>
      <c r="J23" s="2" t="inlineStr">
        <is>
          <t>-</t>
        </is>
      </c>
      <c r="K23" s="2" t="inlineStr">
        <is>
          <t>-</t>
        </is>
      </c>
      <c r="L23" s="2" t="inlineStr">
        <is>
          <t>-</t>
        </is>
      </c>
      <c r="M23" s="2">
        <f> false &gt; = Sarah Schlosberg</f>
        <v/>
      </c>
      <c r="N23" s="2" t="inlineStr">
        <is>
          <t>This is a delay</t>
        </is>
      </c>
      <c r="O23" s="2" t="inlineStr"/>
      <c r="P23" s="2" t="inlineStr">
        <is>
          <t>End</t>
        </is>
      </c>
      <c r="Q23" s="2" t="inlineStr">
        <is>
          <t>Config action 90 (revision 94).</t>
        </is>
      </c>
      <c r="R23" s="2" t="inlineStr"/>
      <c r="S23" s="3" t="inlineStr">
        <is>
          <t>VERIFIED (config)</t>
        </is>
      </c>
    </row>
    <row r="24">
      <c r="A24" s="2" t="inlineStr">
        <is>
          <t>At Risk Monthly Performance Reviews | Marketing Services (UPDATED)</t>
        </is>
      </c>
      <c r="B24" s="2" t="inlineStr">
        <is>
          <t>1892165928</t>
        </is>
      </c>
      <c r="C24" s="2" t="inlineStr">
        <is>
          <t>End</t>
        </is>
      </c>
      <c r="D24" s="2">
        <f> false &gt; = Sarah Schlosberg</f>
        <v/>
      </c>
      <c r="E24" s="2" t="inlineStr">
        <is>
          <t>-</t>
        </is>
      </c>
      <c r="F24" s="2" t="inlineStr">
        <is>
          <t>End</t>
        </is>
      </c>
      <c r="G24" s="2" t="inlineStr">
        <is>
          <t>End of workflow</t>
        </is>
      </c>
      <c r="H24" s="2" t="inlineStr">
        <is>
          <t>Workflow ends for this record.</t>
        </is>
      </c>
      <c r="I24" s="2" t="inlineStr">
        <is>
          <t>-</t>
        </is>
      </c>
      <c r="J24" s="2" t="inlineStr">
        <is>
          <t>-</t>
        </is>
      </c>
      <c r="K24" s="2" t="inlineStr">
        <is>
          <t>-</t>
        </is>
      </c>
      <c r="L24" s="2" t="inlineStr">
        <is>
          <t>-</t>
        </is>
      </c>
      <c r="M24" s="2">
        <f> false &gt; = Sarah Schlosberg</f>
        <v/>
      </c>
      <c r="N24" s="2" t="inlineStr">
        <is>
          <t>None</t>
        </is>
      </c>
      <c r="O24" s="2" t="inlineStr">
        <is>
          <t>Record leaves the workflow</t>
        </is>
      </c>
      <c r="P24" s="2" t="inlineStr">
        <is>
          <t>No in-scope workflow is triggered by this workflow.</t>
        </is>
      </c>
      <c r="Q24" s="2" t="inlineStr">
        <is>
          <t>Workflow config</t>
        </is>
      </c>
      <c r="R24" s="2" t="inlineStr"/>
      <c r="S24" s="3" t="inlineStr">
        <is>
          <t>VERIFIED (config)</t>
        </is>
      </c>
    </row>
    <row r="25">
      <c r="A25" s="2" t="inlineStr">
        <is>
          <t>At Risk Monthly Performance Reviews | Marketing Services (UPDATED)</t>
        </is>
      </c>
      <c r="B25" s="2" t="inlineStr">
        <is>
          <t>1892165928</t>
        </is>
      </c>
      <c r="C25" s="2" t="inlineStr">
        <is>
          <t>Step 16</t>
        </is>
      </c>
      <c r="D25" s="2">
        <f> false &gt; = Mohammad Abudahab</f>
        <v/>
      </c>
      <c r="E25" s="2" t="n">
        <v>16</v>
      </c>
      <c r="F25" s="2" t="inlineStr">
        <is>
          <t>Create task</t>
        </is>
      </c>
      <c r="G25" s="2" t="inlineStr">
        <is>
          <t>Create task (actionTypeId 0-3)</t>
        </is>
      </c>
      <c r="H25" s="2" t="inlineStr">
        <is>
          <t>Creates task "Marketing Performance Review" for Mohammad Abudahab, due 45 business day(s) after creation at 08:00.</t>
        </is>
      </c>
      <c r="I25" s="2" t="inlineStr">
        <is>
          <t>Task</t>
        </is>
      </c>
      <c r="J25" s="2" t="inlineStr">
        <is>
          <t>New task "Marketing Performance Review"</t>
        </is>
      </c>
      <c r="K25" s="2" t="inlineStr">
        <is>
          <t>(new record)</t>
        </is>
      </c>
      <c r="L25"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25" s="2">
        <f> false &gt; = Mohammad Abudahab</f>
        <v/>
      </c>
      <c r="N25" s="2" t="inlineStr">
        <is>
          <t>None</t>
        </is>
      </c>
      <c r="O25" s="2" t="inlineStr">
        <is>
          <t>Records: none.</t>
        </is>
      </c>
      <c r="P25" s="2" t="inlineStr">
        <is>
          <t>Step 17</t>
        </is>
      </c>
      <c r="Q25" s="2" t="inlineStr">
        <is>
          <t>Config action 57 (revision 94).</t>
        </is>
      </c>
      <c r="R2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25" s="3" t="inlineStr">
        <is>
          <t>VERIFIED (config)</t>
        </is>
      </c>
    </row>
    <row r="26">
      <c r="A26" s="2" t="inlineStr">
        <is>
          <t>At Risk Monthly Performance Reviews | Marketing Services (UPDATED)</t>
        </is>
      </c>
      <c r="B26" s="2" t="inlineStr">
        <is>
          <t>1892165928</t>
        </is>
      </c>
      <c r="C26" s="2" t="inlineStr">
        <is>
          <t>Step 17</t>
        </is>
      </c>
      <c r="D26" s="2">
        <f> false &gt; = Mohammad Abudahab</f>
        <v/>
      </c>
      <c r="E26" s="2" t="n">
        <v>17</v>
      </c>
      <c r="F26" s="2" t="inlineStr">
        <is>
          <t>Delay</t>
        </is>
      </c>
      <c r="G26" s="2" t="inlineStr">
        <is>
          <t>Delay (actionTypeId 0-1)</t>
        </is>
      </c>
      <c r="H26" s="2" t="inlineStr">
        <is>
          <t>Waits 64800 minutes (= 45 days).</t>
        </is>
      </c>
      <c r="I26" s="2" t="inlineStr">
        <is>
          <t>-</t>
        </is>
      </c>
      <c r="J26" s="2" t="inlineStr">
        <is>
          <t>-</t>
        </is>
      </c>
      <c r="K26" s="2" t="inlineStr">
        <is>
          <t>-</t>
        </is>
      </c>
      <c r="L26" s="2" t="inlineStr">
        <is>
          <t>-</t>
        </is>
      </c>
      <c r="M26" s="2">
        <f> false &gt; = Mohammad Abudahab</f>
        <v/>
      </c>
      <c r="N26" s="2" t="inlineStr">
        <is>
          <t>This is a delay</t>
        </is>
      </c>
      <c r="O26" s="2" t="inlineStr"/>
      <c r="P26" s="2" t="inlineStr">
        <is>
          <t>End</t>
        </is>
      </c>
      <c r="Q26" s="2" t="inlineStr">
        <is>
          <t>Config action 58 (revision 94).</t>
        </is>
      </c>
      <c r="R26" s="2" t="inlineStr"/>
      <c r="S26" s="3" t="inlineStr">
        <is>
          <t>VERIFIED (config)</t>
        </is>
      </c>
    </row>
    <row r="27">
      <c r="A27" s="2" t="inlineStr">
        <is>
          <t>At Risk Monthly Performance Reviews | Marketing Services (UPDATED)</t>
        </is>
      </c>
      <c r="B27" s="2" t="inlineStr">
        <is>
          <t>1892165928</t>
        </is>
      </c>
      <c r="C27" s="2" t="inlineStr">
        <is>
          <t>End</t>
        </is>
      </c>
      <c r="D27" s="2">
        <f> false &gt; = Mohammad Abudahab</f>
        <v/>
      </c>
      <c r="E27" s="2" t="inlineStr">
        <is>
          <t>-</t>
        </is>
      </c>
      <c r="F27" s="2" t="inlineStr">
        <is>
          <t>End</t>
        </is>
      </c>
      <c r="G27" s="2" t="inlineStr">
        <is>
          <t>End of workflow</t>
        </is>
      </c>
      <c r="H27" s="2" t="inlineStr">
        <is>
          <t>Workflow ends for this record.</t>
        </is>
      </c>
      <c r="I27" s="2" t="inlineStr">
        <is>
          <t>-</t>
        </is>
      </c>
      <c r="J27" s="2" t="inlineStr">
        <is>
          <t>-</t>
        </is>
      </c>
      <c r="K27" s="2" t="inlineStr">
        <is>
          <t>-</t>
        </is>
      </c>
      <c r="L27" s="2" t="inlineStr">
        <is>
          <t>-</t>
        </is>
      </c>
      <c r="M27" s="2">
        <f> false &gt; = Mohammad Abudahab</f>
        <v/>
      </c>
      <c r="N27" s="2" t="inlineStr">
        <is>
          <t>None</t>
        </is>
      </c>
      <c r="O27" s="2" t="inlineStr">
        <is>
          <t>Record leaves the workflow</t>
        </is>
      </c>
      <c r="P27" s="2" t="inlineStr">
        <is>
          <t>No in-scope workflow is triggered by this workflow.</t>
        </is>
      </c>
      <c r="Q27" s="2" t="inlineStr">
        <is>
          <t>Workflow config</t>
        </is>
      </c>
      <c r="R27" s="2" t="inlineStr"/>
      <c r="S27" s="3" t="inlineStr">
        <is>
          <t>VERIFIED (config)</t>
        </is>
      </c>
    </row>
    <row r="28">
      <c r="A28" s="2" t="inlineStr">
        <is>
          <t>At Risk Monthly Performance Reviews | Marketing Services (UPDATED)</t>
        </is>
      </c>
      <c r="B28" s="2" t="inlineStr">
        <is>
          <t>1892165928</t>
        </is>
      </c>
      <c r="C28" s="2" t="inlineStr">
        <is>
          <t>Step 18</t>
        </is>
      </c>
      <c r="D28" s="2">
        <f> false &gt; = Not Assigned</f>
        <v/>
      </c>
      <c r="E28" s="2" t="n">
        <v>18</v>
      </c>
      <c r="F28" s="2" t="inlineStr">
        <is>
          <t>Create task</t>
        </is>
      </c>
      <c r="G28" s="2" t="inlineStr">
        <is>
          <t>Create task (actionTypeId 0-3)</t>
        </is>
      </c>
      <c r="H28" s="2" t="inlineStr">
        <is>
          <t>Creates task "Marketing Performance Review" for No owner set, due 45 business day(s) after creation at 08:00.</t>
        </is>
      </c>
      <c r="I28" s="2" t="inlineStr">
        <is>
          <t>Task</t>
        </is>
      </c>
      <c r="J28" s="2" t="inlineStr">
        <is>
          <t>New task "Marketing Performance Review"</t>
        </is>
      </c>
      <c r="K28" s="2" t="inlineStr">
        <is>
          <t>(new record)</t>
        </is>
      </c>
      <c r="L28"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28" s="2">
        <f> false &gt; = Not Assigned</f>
        <v/>
      </c>
      <c r="N28" s="2" t="inlineStr">
        <is>
          <t>None</t>
        </is>
      </c>
      <c r="O28" s="2" t="inlineStr">
        <is>
          <t>Records: none.</t>
        </is>
      </c>
      <c r="P28" s="2" t="inlineStr">
        <is>
          <t>Step 19</t>
        </is>
      </c>
      <c r="Q28" s="2" t="inlineStr">
        <is>
          <t>Config action 59 (revision 94).</t>
        </is>
      </c>
      <c r="R2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28" s="3" t="inlineStr">
        <is>
          <t>VERIFIED (config)</t>
        </is>
      </c>
    </row>
    <row r="29">
      <c r="A29" s="2" t="inlineStr">
        <is>
          <t>At Risk Monthly Performance Reviews | Marketing Services (UPDATED)</t>
        </is>
      </c>
      <c r="B29" s="2" t="inlineStr">
        <is>
          <t>1892165928</t>
        </is>
      </c>
      <c r="C29" s="2" t="inlineStr">
        <is>
          <t>Step 19</t>
        </is>
      </c>
      <c r="D29" s="2">
        <f> false &gt; = Not Assigned</f>
        <v/>
      </c>
      <c r="E29" s="2" t="n">
        <v>19</v>
      </c>
      <c r="F29" s="2" t="inlineStr">
        <is>
          <t>Delay</t>
        </is>
      </c>
      <c r="G29" s="2" t="inlineStr">
        <is>
          <t>Delay (actionTypeId 0-1)</t>
        </is>
      </c>
      <c r="H29" s="2" t="inlineStr">
        <is>
          <t>Waits 64800 minutes (= 45 days).</t>
        </is>
      </c>
      <c r="I29" s="2" t="inlineStr">
        <is>
          <t>-</t>
        </is>
      </c>
      <c r="J29" s="2" t="inlineStr">
        <is>
          <t>-</t>
        </is>
      </c>
      <c r="K29" s="2" t="inlineStr">
        <is>
          <t>-</t>
        </is>
      </c>
      <c r="L29" s="2" t="inlineStr">
        <is>
          <t>-</t>
        </is>
      </c>
      <c r="M29" s="2">
        <f> false &gt; = Not Assigned</f>
        <v/>
      </c>
      <c r="N29" s="2" t="inlineStr">
        <is>
          <t>This is a delay</t>
        </is>
      </c>
      <c r="O29" s="2" t="inlineStr"/>
      <c r="P29" s="2" t="inlineStr">
        <is>
          <t>End</t>
        </is>
      </c>
      <c r="Q29" s="2" t="inlineStr">
        <is>
          <t>Config action 92 (revision 94).</t>
        </is>
      </c>
      <c r="R29" s="2" t="inlineStr"/>
      <c r="S29" s="3" t="inlineStr">
        <is>
          <t>VERIFIED (config)</t>
        </is>
      </c>
    </row>
    <row r="30">
      <c r="A30" s="2" t="inlineStr">
        <is>
          <t>At Risk Monthly Performance Reviews | Marketing Services (UPDATED)</t>
        </is>
      </c>
      <c r="B30" s="2" t="inlineStr">
        <is>
          <t>1892165928</t>
        </is>
      </c>
      <c r="C30" s="2" t="inlineStr">
        <is>
          <t>End</t>
        </is>
      </c>
      <c r="D30" s="2">
        <f> false &gt; = Not Assigned</f>
        <v/>
      </c>
      <c r="E30" s="2" t="inlineStr">
        <is>
          <t>-</t>
        </is>
      </c>
      <c r="F30" s="2" t="inlineStr">
        <is>
          <t>End</t>
        </is>
      </c>
      <c r="G30" s="2" t="inlineStr">
        <is>
          <t>End of workflow</t>
        </is>
      </c>
      <c r="H30" s="2" t="inlineStr">
        <is>
          <t>Workflow ends for this record.</t>
        </is>
      </c>
      <c r="I30" s="2" t="inlineStr">
        <is>
          <t>-</t>
        </is>
      </c>
      <c r="J30" s="2" t="inlineStr">
        <is>
          <t>-</t>
        </is>
      </c>
      <c r="K30" s="2" t="inlineStr">
        <is>
          <t>-</t>
        </is>
      </c>
      <c r="L30" s="2" t="inlineStr">
        <is>
          <t>-</t>
        </is>
      </c>
      <c r="M30" s="2">
        <f> false &gt; = Not Assigned</f>
        <v/>
      </c>
      <c r="N30" s="2" t="inlineStr">
        <is>
          <t>None</t>
        </is>
      </c>
      <c r="O30" s="2" t="inlineStr">
        <is>
          <t>Record leaves the workflow</t>
        </is>
      </c>
      <c r="P30" s="2" t="inlineStr">
        <is>
          <t>No in-scope workflow is triggered by this workflow.</t>
        </is>
      </c>
      <c r="Q30" s="2" t="inlineStr">
        <is>
          <t>Workflow config</t>
        </is>
      </c>
      <c r="R30" s="2" t="inlineStr"/>
      <c r="S30" s="3" t="inlineStr">
        <is>
          <t>VERIFIED (config)</t>
        </is>
      </c>
    </row>
    <row r="31">
      <c r="A31" s="2" t="inlineStr">
        <is>
          <t>At Risk Monthly Performance Reviews | Marketing Services (UPDATED)</t>
        </is>
      </c>
      <c r="B31" s="2" t="inlineStr">
        <is>
          <t>1892165928</t>
        </is>
      </c>
      <c r="C31" s="2" t="inlineStr">
        <is>
          <t>Go to</t>
        </is>
      </c>
      <c r="D31" s="2">
        <f> false &gt; any other value</f>
        <v/>
      </c>
      <c r="E31" s="2" t="inlineStr">
        <is>
          <t>-</t>
        </is>
      </c>
      <c r="F31" s="2" t="inlineStr">
        <is>
          <t>Go to action</t>
        </is>
      </c>
      <c r="G31" s="2" t="inlineStr">
        <is>
          <t>Branch rejoins</t>
        </is>
      </c>
      <c r="H31" s="2" t="inlineStr">
        <is>
          <t>Continues at step 18.</t>
        </is>
      </c>
      <c r="I31" s="2" t="inlineStr">
        <is>
          <t>-</t>
        </is>
      </c>
      <c r="J31" s="2" t="inlineStr">
        <is>
          <t>-</t>
        </is>
      </c>
      <c r="K31" s="2" t="inlineStr">
        <is>
          <t>-</t>
        </is>
      </c>
      <c r="L31" s="2" t="inlineStr">
        <is>
          <t>-</t>
        </is>
      </c>
      <c r="M31" s="2">
        <f> false &gt; any other value</f>
        <v/>
      </c>
      <c r="N31" s="2" t="inlineStr">
        <is>
          <t>None</t>
        </is>
      </c>
      <c r="O31" s="2" t="inlineStr">
        <is>
          <t>-</t>
        </is>
      </c>
      <c r="P31" s="2" t="inlineStr">
        <is>
          <t>Step 18</t>
        </is>
      </c>
      <c r="Q31" s="2" t="inlineStr">
        <is>
          <t>Workflow config</t>
        </is>
      </c>
      <c r="R31" s="2" t="inlineStr"/>
      <c r="S31" s="3" t="inlineStr">
        <is>
          <t>VERIFIED (config)</t>
        </is>
      </c>
    </row>
    <row r="32">
      <c r="A32" s="2" t="inlineStr">
        <is>
          <t>Improving Monthly Performance Reviews | Marketing Services (UPDATED)</t>
        </is>
      </c>
      <c r="B32" s="2" t="inlineStr">
        <is>
          <t>1892196753</t>
        </is>
      </c>
      <c r="C32" s="2" t="inlineStr">
        <is>
          <t>Trigger</t>
        </is>
      </c>
      <c r="D32" s="2" t="inlineStr">
        <is>
          <t>-</t>
        </is>
      </c>
      <c r="E32" s="2" t="n">
        <v>0</v>
      </c>
      <c r="F32" s="2" t="inlineStr">
        <is>
          <t>Enrollment trigger</t>
        </is>
      </c>
      <c r="G32" s="2" t="inlineStr">
        <is>
          <t>Records meet custom conditions (filter-based)</t>
        </is>
      </c>
      <c r="H32" s="2" t="inlineStr">
        <is>
          <t>Enrolls a company when: Customer Tier is any of Enterprise, Tier 2 - L1, Tier 1 AND Status is any of Live AND PPC Enrolled (Yes/No) is any of Yes AND Trend to Goal is any of Improving. Enrollment is re-checked every month on day(s) 5 at 00:00.</t>
        </is>
      </c>
      <c r="I32" s="2" t="inlineStr">
        <is>
          <t>Company</t>
        </is>
      </c>
      <c r="J32" s="2" t="inlineStr">
        <is>
          <t>-</t>
        </is>
      </c>
      <c r="K32" s="2" t="inlineStr">
        <is>
          <t>-</t>
        </is>
      </c>
      <c r="L32" s="2" t="inlineStr">
        <is>
          <t>Customer Tier is any of Enterprise, Tier 2 - L1, Tier 1 AND Status is any of Live AND PPC Enrolled (Yes/No) is any of Yes AND Trend to Goal is any of Improving</t>
        </is>
      </c>
      <c r="M32" s="2" t="inlineStr">
        <is>
          <t>All listed conditions</t>
        </is>
      </c>
      <c r="N32" s="2" t="inlineStr">
        <is>
          <t>None</t>
        </is>
      </c>
      <c r="O32" s="2" t="inlineStr">
        <is>
          <t>Re-enroll: ON. Unenroll if no longer meets criteria: OFF. Suppression (never enroll / unenroll): none. Schedule: re-checked every month on day(s) 5 at 00:00.</t>
        </is>
      </c>
      <c r="P32" s="2" t="inlineStr">
        <is>
          <t>Step 1</t>
        </is>
      </c>
      <c r="Q32" s="2" t="inlineStr">
        <is>
          <t>Config GET /automation/v4/flows/1892196753 (revision 51, updated 2026-10-06). https://app.hubspot.com/workflows/45059701/platform/flow/1892196753/edit</t>
        </is>
      </c>
      <c r="R32" s="2" t="inlineStr"/>
      <c r="S32" s="3" t="inlineStr">
        <is>
          <t>VERIFIED (config)</t>
        </is>
      </c>
    </row>
    <row r="33">
      <c r="A33" s="2" t="inlineStr">
        <is>
          <t>Improving Monthly Performance Reviews | Marketing Services (UPDATED)</t>
        </is>
      </c>
      <c r="B33" s="2" t="inlineStr">
        <is>
          <t>1892196753</t>
        </is>
      </c>
      <c r="C33" s="2" t="inlineStr">
        <is>
          <t>Step 1</t>
        </is>
      </c>
      <c r="D33" s="2" t="inlineStr">
        <is>
          <t>Main path (no branch)</t>
        </is>
      </c>
      <c r="E33" s="2" t="n">
        <v>1</v>
      </c>
      <c r="F33" s="2" t="inlineStr">
        <is>
          <t>Branch on one property value</t>
        </is>
      </c>
      <c r="G33" s="2" t="inlineStr">
        <is>
          <t>Branch on one property value (actionTypeId STATIC_BRANCH)</t>
        </is>
      </c>
      <c r="H33" s="2" t="inlineStr">
        <is>
          <t>Branches on SpareFoot (Y/N): true; false; anything else -&gt; ends.</t>
        </is>
      </c>
      <c r="I33" s="2" t="inlineStr">
        <is>
          <t>-</t>
        </is>
      </c>
      <c r="J33" s="2" t="inlineStr">
        <is>
          <t>SpareFoot (Y/N)</t>
        </is>
      </c>
      <c r="K33" s="2" t="inlineStr">
        <is>
          <t>-</t>
        </is>
      </c>
      <c r="L33" s="2" t="inlineStr">
        <is>
          <t>-</t>
        </is>
      </c>
      <c r="M33" s="2" t="inlineStr">
        <is>
          <t>Always (no branch)</t>
        </is>
      </c>
      <c r="N33" s="2" t="inlineStr">
        <is>
          <t>None</t>
        </is>
      </c>
      <c r="O33" s="2" t="inlineStr"/>
      <c r="P33" s="2" t="inlineStr">
        <is>
          <t>First action of each branch (see following rows)</t>
        </is>
      </c>
      <c r="Q33" s="2" t="inlineStr">
        <is>
          <t>Config action 2 (revision 51).</t>
        </is>
      </c>
      <c r="R33" s="2" t="inlineStr"/>
      <c r="S33" s="3" t="inlineStr">
        <is>
          <t>VERIFIED (config)</t>
        </is>
      </c>
    </row>
    <row r="34">
      <c r="A34" s="2" t="inlineStr">
        <is>
          <t>Improving Monthly Performance Reviews | Marketing Services (UPDATED)</t>
        </is>
      </c>
      <c r="B34" s="2" t="inlineStr">
        <is>
          <t>1892196753</t>
        </is>
      </c>
      <c r="C34" s="2" t="inlineStr">
        <is>
          <t>Step 2</t>
        </is>
      </c>
      <c r="D34" s="2">
        <f> true</f>
        <v/>
      </c>
      <c r="E34" s="2" t="n">
        <v>2</v>
      </c>
      <c r="F34" s="2" t="inlineStr">
        <is>
          <t>Branch on one property value</t>
        </is>
      </c>
      <c r="G34" s="2" t="inlineStr">
        <is>
          <t>Branch on one property value (actionTypeId STATIC_BRANCH)</t>
        </is>
      </c>
      <c r="H34" s="2" t="inlineStr">
        <is>
          <t>Branches on Portfolio Mgr: Brock Hegr; Sarah Schlosberg; Mohammad Abudahab; Not Assigned; anything else -&gt; default branch.</t>
        </is>
      </c>
      <c r="I34" s="2" t="inlineStr">
        <is>
          <t>-</t>
        </is>
      </c>
      <c r="J34" s="2" t="inlineStr">
        <is>
          <t>Portfolio Mgr</t>
        </is>
      </c>
      <c r="K34" s="2" t="inlineStr">
        <is>
          <t>-</t>
        </is>
      </c>
      <c r="L34" s="2" t="inlineStr">
        <is>
          <t>-</t>
        </is>
      </c>
      <c r="M34" s="2">
        <f> true</f>
        <v/>
      </c>
      <c r="N34" s="2" t="inlineStr">
        <is>
          <t>None</t>
        </is>
      </c>
      <c r="O34" s="2" t="inlineStr"/>
      <c r="P34" s="2" t="inlineStr">
        <is>
          <t>First action of each branch (see following rows)</t>
        </is>
      </c>
      <c r="Q34" s="2" t="inlineStr">
        <is>
          <t>Config action 4 (revision 51).</t>
        </is>
      </c>
      <c r="R34" s="2" t="inlineStr"/>
      <c r="S34" s="3" t="inlineStr">
        <is>
          <t>VERIFIED (config)</t>
        </is>
      </c>
    </row>
    <row r="35">
      <c r="A35" s="2" t="inlineStr">
        <is>
          <t>Improving Monthly Performance Reviews | Marketing Services (UPDATED)</t>
        </is>
      </c>
      <c r="B35" s="2" t="inlineStr">
        <is>
          <t>1892196753</t>
        </is>
      </c>
      <c r="C35" s="2" t="inlineStr">
        <is>
          <t>Step 3</t>
        </is>
      </c>
      <c r="D35" s="2">
        <f> true &gt; = Brock Hegr</f>
        <v/>
      </c>
      <c r="E35" s="2" t="n">
        <v>3</v>
      </c>
      <c r="F35" s="2" t="inlineStr">
        <is>
          <t>Create task</t>
        </is>
      </c>
      <c r="G35" s="2" t="inlineStr">
        <is>
          <t>Create task (actionTypeId 0-3)</t>
        </is>
      </c>
      <c r="H35" s="2" t="inlineStr">
        <is>
          <t>Creates task "Marketing Performance Review" for Brock Hegr, due 45 business day(s) after creation at 08:00.</t>
        </is>
      </c>
      <c r="I35" s="2" t="inlineStr">
        <is>
          <t>Task</t>
        </is>
      </c>
      <c r="J35" s="2" t="inlineStr">
        <is>
          <t>New task "Marketing Performance Review"</t>
        </is>
      </c>
      <c r="K35" s="2" t="inlineStr">
        <is>
          <t>(new record)</t>
        </is>
      </c>
      <c r="L35"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35" s="2">
        <f> true &gt; = Brock Hegr</f>
        <v/>
      </c>
      <c r="N35" s="2" t="inlineStr">
        <is>
          <t>None</t>
        </is>
      </c>
      <c r="O35" s="2" t="inlineStr">
        <is>
          <t>Records: none.</t>
        </is>
      </c>
      <c r="P35" s="2" t="inlineStr">
        <is>
          <t>Step 4</t>
        </is>
      </c>
      <c r="Q35" s="2" t="inlineStr">
        <is>
          <t>Config action 1 (revision 51).</t>
        </is>
      </c>
      <c r="R3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35" s="3" t="inlineStr">
        <is>
          <t>VERIFIED (config)</t>
        </is>
      </c>
    </row>
    <row r="36">
      <c r="A36" s="2" t="inlineStr">
        <is>
          <t>Improving Monthly Performance Reviews | Marketing Services (UPDATED)</t>
        </is>
      </c>
      <c r="B36" s="2" t="inlineStr">
        <is>
          <t>1892196753</t>
        </is>
      </c>
      <c r="C36" s="2" t="inlineStr">
        <is>
          <t>Step 4</t>
        </is>
      </c>
      <c r="D36" s="2">
        <f> true &gt; = Brock Hegr</f>
        <v/>
      </c>
      <c r="E36" s="2" t="n">
        <v>4</v>
      </c>
      <c r="F36" s="2" t="inlineStr">
        <is>
          <t>Delay</t>
        </is>
      </c>
      <c r="G36" s="2" t="inlineStr">
        <is>
          <t>Delay (actionTypeId 0-1)</t>
        </is>
      </c>
      <c r="H36" s="2" t="inlineStr">
        <is>
          <t>Waits 64800 minutes (= 45 days).</t>
        </is>
      </c>
      <c r="I36" s="2" t="inlineStr">
        <is>
          <t>-</t>
        </is>
      </c>
      <c r="J36" s="2" t="inlineStr">
        <is>
          <t>-</t>
        </is>
      </c>
      <c r="K36" s="2" t="inlineStr">
        <is>
          <t>-</t>
        </is>
      </c>
      <c r="L36" s="2" t="inlineStr">
        <is>
          <t>-</t>
        </is>
      </c>
      <c r="M36" s="2">
        <f> true &gt; = Brock Hegr</f>
        <v/>
      </c>
      <c r="N36" s="2" t="inlineStr">
        <is>
          <t>This is a delay</t>
        </is>
      </c>
      <c r="O36" s="2" t="inlineStr"/>
      <c r="P36" s="2" t="inlineStr">
        <is>
          <t>End</t>
        </is>
      </c>
      <c r="Q36" s="2" t="inlineStr">
        <is>
          <t>Config action 13 (revision 51).</t>
        </is>
      </c>
      <c r="R36" s="2" t="inlineStr"/>
      <c r="S36" s="3" t="inlineStr">
        <is>
          <t>VERIFIED (config)</t>
        </is>
      </c>
    </row>
    <row r="37">
      <c r="A37" s="2" t="inlineStr">
        <is>
          <t>Improving Monthly Performance Reviews | Marketing Services (UPDATED)</t>
        </is>
      </c>
      <c r="B37" s="2" t="inlineStr">
        <is>
          <t>1892196753</t>
        </is>
      </c>
      <c r="C37" s="2" t="inlineStr">
        <is>
          <t>End</t>
        </is>
      </c>
      <c r="D37" s="2">
        <f> true &gt; = Brock Hegr</f>
        <v/>
      </c>
      <c r="E37" s="2" t="inlineStr">
        <is>
          <t>-</t>
        </is>
      </c>
      <c r="F37" s="2" t="inlineStr">
        <is>
          <t>End</t>
        </is>
      </c>
      <c r="G37" s="2" t="inlineStr">
        <is>
          <t>End of workflow</t>
        </is>
      </c>
      <c r="H37" s="2" t="inlineStr">
        <is>
          <t>Workflow ends for this record.</t>
        </is>
      </c>
      <c r="I37" s="2" t="inlineStr">
        <is>
          <t>-</t>
        </is>
      </c>
      <c r="J37" s="2" t="inlineStr">
        <is>
          <t>-</t>
        </is>
      </c>
      <c r="K37" s="2" t="inlineStr">
        <is>
          <t>-</t>
        </is>
      </c>
      <c r="L37" s="2" t="inlineStr">
        <is>
          <t>-</t>
        </is>
      </c>
      <c r="M37" s="2">
        <f> true &gt; = Brock Hegr</f>
        <v/>
      </c>
      <c r="N37" s="2" t="inlineStr">
        <is>
          <t>None</t>
        </is>
      </c>
      <c r="O37" s="2" t="inlineStr">
        <is>
          <t>Record leaves the workflow</t>
        </is>
      </c>
      <c r="P37" s="2" t="inlineStr">
        <is>
          <t>No in-scope workflow is triggered by this workflow.</t>
        </is>
      </c>
      <c r="Q37" s="2" t="inlineStr">
        <is>
          <t>Workflow config</t>
        </is>
      </c>
      <c r="R37" s="2" t="inlineStr"/>
      <c r="S37" s="3" t="inlineStr">
        <is>
          <t>VERIFIED (config)</t>
        </is>
      </c>
    </row>
    <row r="38">
      <c r="A38" s="2" t="inlineStr">
        <is>
          <t>Improving Monthly Performance Reviews | Marketing Services (UPDATED)</t>
        </is>
      </c>
      <c r="B38" s="2" t="inlineStr">
        <is>
          <t>1892196753</t>
        </is>
      </c>
      <c r="C38" s="2" t="inlineStr">
        <is>
          <t>Step 5</t>
        </is>
      </c>
      <c r="D38" s="2">
        <f> true &gt; = Sarah Schlosberg</f>
        <v/>
      </c>
      <c r="E38" s="2" t="n">
        <v>5</v>
      </c>
      <c r="F38" s="2" t="inlineStr">
        <is>
          <t>Create task</t>
        </is>
      </c>
      <c r="G38" s="2" t="inlineStr">
        <is>
          <t>Create task (actionTypeId 0-3)</t>
        </is>
      </c>
      <c r="H38" s="2" t="inlineStr">
        <is>
          <t>Creates task "Marketing Performance Review" for Sarah Schlosberg, due 45 business day(s) after creation at 08:00.</t>
        </is>
      </c>
      <c r="I38" s="2" t="inlineStr">
        <is>
          <t>Task</t>
        </is>
      </c>
      <c r="J38" s="2" t="inlineStr">
        <is>
          <t>New task "Marketing Performance Review"</t>
        </is>
      </c>
      <c r="K38" s="2" t="inlineStr">
        <is>
          <t>(new record)</t>
        </is>
      </c>
      <c r="L38"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38" s="2">
        <f> true &gt; = Sarah Schlosberg</f>
        <v/>
      </c>
      <c r="N38" s="2" t="inlineStr">
        <is>
          <t>None</t>
        </is>
      </c>
      <c r="O38" s="2" t="inlineStr">
        <is>
          <t>Records: none.</t>
        </is>
      </c>
      <c r="P38" s="2" t="inlineStr">
        <is>
          <t>Step 6</t>
        </is>
      </c>
      <c r="Q38" s="2" t="inlineStr">
        <is>
          <t>Config action 22 (revision 51).</t>
        </is>
      </c>
      <c r="R3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38" s="3" t="inlineStr">
        <is>
          <t>VERIFIED (config)</t>
        </is>
      </c>
    </row>
    <row r="39">
      <c r="A39" s="2" t="inlineStr">
        <is>
          <t>Improving Monthly Performance Reviews | Marketing Services (UPDATED)</t>
        </is>
      </c>
      <c r="B39" s="2" t="inlineStr">
        <is>
          <t>1892196753</t>
        </is>
      </c>
      <c r="C39" s="2" t="inlineStr">
        <is>
          <t>Step 6</t>
        </is>
      </c>
      <c r="D39" s="2">
        <f> true &gt; = Sarah Schlosberg</f>
        <v/>
      </c>
      <c r="E39" s="2" t="n">
        <v>6</v>
      </c>
      <c r="F39" s="2" t="inlineStr">
        <is>
          <t>Delay</t>
        </is>
      </c>
      <c r="G39" s="2" t="inlineStr">
        <is>
          <t>Delay (actionTypeId 0-1)</t>
        </is>
      </c>
      <c r="H39" s="2" t="inlineStr">
        <is>
          <t>Waits 64800 minutes (= 45 days).</t>
        </is>
      </c>
      <c r="I39" s="2" t="inlineStr">
        <is>
          <t>-</t>
        </is>
      </c>
      <c r="J39" s="2" t="inlineStr">
        <is>
          <t>-</t>
        </is>
      </c>
      <c r="K39" s="2" t="inlineStr">
        <is>
          <t>-</t>
        </is>
      </c>
      <c r="L39" s="2" t="inlineStr">
        <is>
          <t>-</t>
        </is>
      </c>
      <c r="M39" s="2">
        <f> true &gt; = Sarah Schlosberg</f>
        <v/>
      </c>
      <c r="N39" s="2" t="inlineStr">
        <is>
          <t>This is a delay</t>
        </is>
      </c>
      <c r="O39" s="2" t="inlineStr"/>
      <c r="P39" s="2" t="inlineStr">
        <is>
          <t>End</t>
        </is>
      </c>
      <c r="Q39" s="2" t="inlineStr">
        <is>
          <t>Config action 23 (revision 51).</t>
        </is>
      </c>
      <c r="R39" s="2" t="inlineStr"/>
      <c r="S39" s="3" t="inlineStr">
        <is>
          <t>VERIFIED (config)</t>
        </is>
      </c>
    </row>
    <row r="40">
      <c r="A40" s="2" t="inlineStr">
        <is>
          <t>Improving Monthly Performance Reviews | Marketing Services (UPDATED)</t>
        </is>
      </c>
      <c r="B40" s="2" t="inlineStr">
        <is>
          <t>1892196753</t>
        </is>
      </c>
      <c r="C40" s="2" t="inlineStr">
        <is>
          <t>End</t>
        </is>
      </c>
      <c r="D40" s="2">
        <f> true &gt; = Sarah Schlosberg</f>
        <v/>
      </c>
      <c r="E40" s="2" t="inlineStr">
        <is>
          <t>-</t>
        </is>
      </c>
      <c r="F40" s="2" t="inlineStr">
        <is>
          <t>End</t>
        </is>
      </c>
      <c r="G40" s="2" t="inlineStr">
        <is>
          <t>End of workflow</t>
        </is>
      </c>
      <c r="H40" s="2" t="inlineStr">
        <is>
          <t>Workflow ends for this record.</t>
        </is>
      </c>
      <c r="I40" s="2" t="inlineStr">
        <is>
          <t>-</t>
        </is>
      </c>
      <c r="J40" s="2" t="inlineStr">
        <is>
          <t>-</t>
        </is>
      </c>
      <c r="K40" s="2" t="inlineStr">
        <is>
          <t>-</t>
        </is>
      </c>
      <c r="L40" s="2" t="inlineStr">
        <is>
          <t>-</t>
        </is>
      </c>
      <c r="M40" s="2">
        <f> true &gt; = Sarah Schlosberg</f>
        <v/>
      </c>
      <c r="N40" s="2" t="inlineStr">
        <is>
          <t>None</t>
        </is>
      </c>
      <c r="O40" s="2" t="inlineStr">
        <is>
          <t>Record leaves the workflow</t>
        </is>
      </c>
      <c r="P40" s="2" t="inlineStr">
        <is>
          <t>No in-scope workflow is triggered by this workflow.</t>
        </is>
      </c>
      <c r="Q40" s="2" t="inlineStr">
        <is>
          <t>Workflow config</t>
        </is>
      </c>
      <c r="R40" s="2" t="inlineStr"/>
      <c r="S40" s="3" t="inlineStr">
        <is>
          <t>VERIFIED (config)</t>
        </is>
      </c>
    </row>
    <row r="41">
      <c r="A41" s="2" t="inlineStr">
        <is>
          <t>Improving Monthly Performance Reviews | Marketing Services (UPDATED)</t>
        </is>
      </c>
      <c r="B41" s="2" t="inlineStr">
        <is>
          <t>1892196753</t>
        </is>
      </c>
      <c r="C41" s="2" t="inlineStr">
        <is>
          <t>Step 7</t>
        </is>
      </c>
      <c r="D41" s="2">
        <f> true &gt; = Mohammad Abudahab</f>
        <v/>
      </c>
      <c r="E41" s="2" t="n">
        <v>7</v>
      </c>
      <c r="F41" s="2" t="inlineStr">
        <is>
          <t>Create task</t>
        </is>
      </c>
      <c r="G41" s="2" t="inlineStr">
        <is>
          <t>Create task (actionTypeId 0-3)</t>
        </is>
      </c>
      <c r="H41" s="2" t="inlineStr">
        <is>
          <t>Creates task "Marketing Performance Review" for Mohammad Abudahab, due 45 business day(s) after creation at 08:00.</t>
        </is>
      </c>
      <c r="I41" s="2" t="inlineStr">
        <is>
          <t>Task</t>
        </is>
      </c>
      <c r="J41" s="2" t="inlineStr">
        <is>
          <t>New task "Marketing Performance Review"</t>
        </is>
      </c>
      <c r="K41" s="2" t="inlineStr">
        <is>
          <t>(new record)</t>
        </is>
      </c>
      <c r="L41"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41" s="2">
        <f> true &gt; = Mohammad Abudahab</f>
        <v/>
      </c>
      <c r="N41" s="2" t="inlineStr">
        <is>
          <t>None</t>
        </is>
      </c>
      <c r="O41" s="2" t="inlineStr">
        <is>
          <t>Records: none.</t>
        </is>
      </c>
      <c r="P41" s="2" t="inlineStr">
        <is>
          <t>Step 8</t>
        </is>
      </c>
      <c r="Q41" s="2" t="inlineStr">
        <is>
          <t>Config action 24 (revision 51).</t>
        </is>
      </c>
      <c r="R41"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41" s="3" t="inlineStr">
        <is>
          <t>VERIFIED (config)</t>
        </is>
      </c>
    </row>
    <row r="42">
      <c r="A42" s="2" t="inlineStr">
        <is>
          <t>Improving Monthly Performance Reviews | Marketing Services (UPDATED)</t>
        </is>
      </c>
      <c r="B42" s="2" t="inlineStr">
        <is>
          <t>1892196753</t>
        </is>
      </c>
      <c r="C42" s="2" t="inlineStr">
        <is>
          <t>Step 8</t>
        </is>
      </c>
      <c r="D42" s="2">
        <f> true &gt; = Mohammad Abudahab</f>
        <v/>
      </c>
      <c r="E42" s="2" t="n">
        <v>8</v>
      </c>
      <c r="F42" s="2" t="inlineStr">
        <is>
          <t>Delay</t>
        </is>
      </c>
      <c r="G42" s="2" t="inlineStr">
        <is>
          <t>Delay (actionTypeId 0-1)</t>
        </is>
      </c>
      <c r="H42" s="2" t="inlineStr">
        <is>
          <t>Waits 64800 minutes (= 45 days).</t>
        </is>
      </c>
      <c r="I42" s="2" t="inlineStr">
        <is>
          <t>-</t>
        </is>
      </c>
      <c r="J42" s="2" t="inlineStr">
        <is>
          <t>-</t>
        </is>
      </c>
      <c r="K42" s="2" t="inlineStr">
        <is>
          <t>-</t>
        </is>
      </c>
      <c r="L42" s="2" t="inlineStr">
        <is>
          <t>-</t>
        </is>
      </c>
      <c r="M42" s="2">
        <f> true &gt; = Mohammad Abudahab</f>
        <v/>
      </c>
      <c r="N42" s="2" t="inlineStr">
        <is>
          <t>This is a delay</t>
        </is>
      </c>
      <c r="O42" s="2" t="inlineStr"/>
      <c r="P42" s="2" t="inlineStr">
        <is>
          <t>End</t>
        </is>
      </c>
      <c r="Q42" s="2" t="inlineStr">
        <is>
          <t>Config action 25 (revision 51).</t>
        </is>
      </c>
      <c r="R42" s="2" t="inlineStr"/>
      <c r="S42" s="3" t="inlineStr">
        <is>
          <t>VERIFIED (config)</t>
        </is>
      </c>
    </row>
    <row r="43">
      <c r="A43" s="2" t="inlineStr">
        <is>
          <t>Improving Monthly Performance Reviews | Marketing Services (UPDATED)</t>
        </is>
      </c>
      <c r="B43" s="2" t="inlineStr">
        <is>
          <t>1892196753</t>
        </is>
      </c>
      <c r="C43" s="2" t="inlineStr">
        <is>
          <t>End</t>
        </is>
      </c>
      <c r="D43" s="2">
        <f> true &gt; = Mohammad Abudahab</f>
        <v/>
      </c>
      <c r="E43" s="2" t="inlineStr">
        <is>
          <t>-</t>
        </is>
      </c>
      <c r="F43" s="2" t="inlineStr">
        <is>
          <t>End</t>
        </is>
      </c>
      <c r="G43" s="2" t="inlineStr">
        <is>
          <t>End of workflow</t>
        </is>
      </c>
      <c r="H43" s="2" t="inlineStr">
        <is>
          <t>Workflow ends for this record.</t>
        </is>
      </c>
      <c r="I43" s="2" t="inlineStr">
        <is>
          <t>-</t>
        </is>
      </c>
      <c r="J43" s="2" t="inlineStr">
        <is>
          <t>-</t>
        </is>
      </c>
      <c r="K43" s="2" t="inlineStr">
        <is>
          <t>-</t>
        </is>
      </c>
      <c r="L43" s="2" t="inlineStr">
        <is>
          <t>-</t>
        </is>
      </c>
      <c r="M43" s="2">
        <f> true &gt; = Mohammad Abudahab</f>
        <v/>
      </c>
      <c r="N43" s="2" t="inlineStr">
        <is>
          <t>None</t>
        </is>
      </c>
      <c r="O43" s="2" t="inlineStr">
        <is>
          <t>Record leaves the workflow</t>
        </is>
      </c>
      <c r="P43" s="2" t="inlineStr">
        <is>
          <t>No in-scope workflow is triggered by this workflow.</t>
        </is>
      </c>
      <c r="Q43" s="2" t="inlineStr">
        <is>
          <t>Workflow config</t>
        </is>
      </c>
      <c r="R43" s="2" t="inlineStr"/>
      <c r="S43" s="3" t="inlineStr">
        <is>
          <t>VERIFIED (config)</t>
        </is>
      </c>
    </row>
    <row r="44">
      <c r="A44" s="2" t="inlineStr">
        <is>
          <t>Improving Monthly Performance Reviews | Marketing Services (UPDATED)</t>
        </is>
      </c>
      <c r="B44" s="2" t="inlineStr">
        <is>
          <t>1892196753</t>
        </is>
      </c>
      <c r="C44" s="2" t="inlineStr">
        <is>
          <t>Step 9</t>
        </is>
      </c>
      <c r="D44" s="2">
        <f> true &gt; = Not Assigned</f>
        <v/>
      </c>
      <c r="E44" s="2" t="n">
        <v>9</v>
      </c>
      <c r="F44" s="2" t="inlineStr">
        <is>
          <t>Create task</t>
        </is>
      </c>
      <c r="G44" s="2" t="inlineStr">
        <is>
          <t>Create task (actionTypeId 0-3)</t>
        </is>
      </c>
      <c r="H44" s="2" t="inlineStr">
        <is>
          <t>Creates task "Marketing Performance Review" for No owner set, due 45 business day(s) after creation at 08:00.</t>
        </is>
      </c>
      <c r="I44" s="2" t="inlineStr">
        <is>
          <t>Task</t>
        </is>
      </c>
      <c r="J44" s="2" t="inlineStr">
        <is>
          <t>New task "Marketing Performance Review"</t>
        </is>
      </c>
      <c r="K44" s="2" t="inlineStr">
        <is>
          <t>(new record)</t>
        </is>
      </c>
      <c r="L44"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44" s="2">
        <f> true &gt; = Not Assigned</f>
        <v/>
      </c>
      <c r="N44" s="2" t="inlineStr">
        <is>
          <t>None</t>
        </is>
      </c>
      <c r="O44" s="2" t="inlineStr">
        <is>
          <t>Records: none.</t>
        </is>
      </c>
      <c r="P44" s="2" t="inlineStr">
        <is>
          <t>Step 10</t>
        </is>
      </c>
      <c r="Q44" s="2" t="inlineStr">
        <is>
          <t>Config action 27 (revision 51).</t>
        </is>
      </c>
      <c r="R44"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44" s="3" t="inlineStr">
        <is>
          <t>VERIFIED (config)</t>
        </is>
      </c>
    </row>
    <row r="45">
      <c r="A45" s="2" t="inlineStr">
        <is>
          <t>Improving Monthly Performance Reviews | Marketing Services (UPDATED)</t>
        </is>
      </c>
      <c r="B45" s="2" t="inlineStr">
        <is>
          <t>1892196753</t>
        </is>
      </c>
      <c r="C45" s="2" t="inlineStr">
        <is>
          <t>Step 10</t>
        </is>
      </c>
      <c r="D45" s="2">
        <f> true &gt; = Not Assigned</f>
        <v/>
      </c>
      <c r="E45" s="2" t="n">
        <v>10</v>
      </c>
      <c r="F45" s="2" t="inlineStr">
        <is>
          <t>Delay</t>
        </is>
      </c>
      <c r="G45" s="2" t="inlineStr">
        <is>
          <t>Delay (actionTypeId 0-1)</t>
        </is>
      </c>
      <c r="H45" s="2" t="inlineStr">
        <is>
          <t>Waits 64800 minutes (= 45 days).</t>
        </is>
      </c>
      <c r="I45" s="2" t="inlineStr">
        <is>
          <t>-</t>
        </is>
      </c>
      <c r="J45" s="2" t="inlineStr">
        <is>
          <t>-</t>
        </is>
      </c>
      <c r="K45" s="2" t="inlineStr">
        <is>
          <t>-</t>
        </is>
      </c>
      <c r="L45" s="2" t="inlineStr">
        <is>
          <t>-</t>
        </is>
      </c>
      <c r="M45" s="2">
        <f> true &gt; = Not Assigned</f>
        <v/>
      </c>
      <c r="N45" s="2" t="inlineStr">
        <is>
          <t>This is a delay</t>
        </is>
      </c>
      <c r="O45" s="2" t="inlineStr"/>
      <c r="P45" s="2" t="inlineStr">
        <is>
          <t>End</t>
        </is>
      </c>
      <c r="Q45" s="2" t="inlineStr">
        <is>
          <t>Config action 28 (revision 51).</t>
        </is>
      </c>
      <c r="R45" s="2" t="inlineStr"/>
      <c r="S45" s="3" t="inlineStr">
        <is>
          <t>VERIFIED (config)</t>
        </is>
      </c>
    </row>
    <row r="46">
      <c r="A46" s="2" t="inlineStr">
        <is>
          <t>Improving Monthly Performance Reviews | Marketing Services (UPDATED)</t>
        </is>
      </c>
      <c r="B46" s="2" t="inlineStr">
        <is>
          <t>1892196753</t>
        </is>
      </c>
      <c r="C46" s="2" t="inlineStr">
        <is>
          <t>End</t>
        </is>
      </c>
      <c r="D46" s="2">
        <f> true &gt; = Not Assigned</f>
        <v/>
      </c>
      <c r="E46" s="2" t="inlineStr">
        <is>
          <t>-</t>
        </is>
      </c>
      <c r="F46" s="2" t="inlineStr">
        <is>
          <t>End</t>
        </is>
      </c>
      <c r="G46" s="2" t="inlineStr">
        <is>
          <t>End of workflow</t>
        </is>
      </c>
      <c r="H46" s="2" t="inlineStr">
        <is>
          <t>Workflow ends for this record.</t>
        </is>
      </c>
      <c r="I46" s="2" t="inlineStr">
        <is>
          <t>-</t>
        </is>
      </c>
      <c r="J46" s="2" t="inlineStr">
        <is>
          <t>-</t>
        </is>
      </c>
      <c r="K46" s="2" t="inlineStr">
        <is>
          <t>-</t>
        </is>
      </c>
      <c r="L46" s="2" t="inlineStr">
        <is>
          <t>-</t>
        </is>
      </c>
      <c r="M46" s="2">
        <f> true &gt; = Not Assigned</f>
        <v/>
      </c>
      <c r="N46" s="2" t="inlineStr">
        <is>
          <t>None</t>
        </is>
      </c>
      <c r="O46" s="2" t="inlineStr">
        <is>
          <t>Record leaves the workflow</t>
        </is>
      </c>
      <c r="P46" s="2" t="inlineStr">
        <is>
          <t>No in-scope workflow is triggered by this workflow.</t>
        </is>
      </c>
      <c r="Q46" s="2" t="inlineStr">
        <is>
          <t>Workflow config</t>
        </is>
      </c>
      <c r="R46" s="2" t="inlineStr"/>
      <c r="S46" s="3" t="inlineStr">
        <is>
          <t>VERIFIED (config)</t>
        </is>
      </c>
    </row>
    <row r="47">
      <c r="A47" s="2" t="inlineStr">
        <is>
          <t>Improving Monthly Performance Reviews | Marketing Services (UPDATED)</t>
        </is>
      </c>
      <c r="B47" s="2" t="inlineStr">
        <is>
          <t>1892196753</t>
        </is>
      </c>
      <c r="C47" s="2" t="inlineStr">
        <is>
          <t>Go to</t>
        </is>
      </c>
      <c r="D47" s="2">
        <f> true &gt; any other value</f>
        <v/>
      </c>
      <c r="E47" s="2" t="inlineStr">
        <is>
          <t>-</t>
        </is>
      </c>
      <c r="F47" s="2" t="inlineStr">
        <is>
          <t>Go to action</t>
        </is>
      </c>
      <c r="G47" s="2" t="inlineStr">
        <is>
          <t>Branch rejoins</t>
        </is>
      </c>
      <c r="H47" s="2" t="inlineStr">
        <is>
          <t>Continues at step 9.</t>
        </is>
      </c>
      <c r="I47" s="2" t="inlineStr">
        <is>
          <t>-</t>
        </is>
      </c>
      <c r="J47" s="2" t="inlineStr">
        <is>
          <t>-</t>
        </is>
      </c>
      <c r="K47" s="2" t="inlineStr">
        <is>
          <t>-</t>
        </is>
      </c>
      <c r="L47" s="2" t="inlineStr">
        <is>
          <t>-</t>
        </is>
      </c>
      <c r="M47" s="2">
        <f> true &gt; any other value</f>
        <v/>
      </c>
      <c r="N47" s="2" t="inlineStr">
        <is>
          <t>None</t>
        </is>
      </c>
      <c r="O47" s="2" t="inlineStr">
        <is>
          <t>-</t>
        </is>
      </c>
      <c r="P47" s="2" t="inlineStr">
        <is>
          <t>Step 9</t>
        </is>
      </c>
      <c r="Q47" s="2" t="inlineStr">
        <is>
          <t>Workflow config</t>
        </is>
      </c>
      <c r="R47" s="2" t="inlineStr"/>
      <c r="S47" s="3" t="inlineStr">
        <is>
          <t>VERIFIED (config)</t>
        </is>
      </c>
    </row>
    <row r="48">
      <c r="A48" s="2" t="inlineStr">
        <is>
          <t>Improving Monthly Performance Reviews | Marketing Services (UPDATED)</t>
        </is>
      </c>
      <c r="B48" s="2" t="inlineStr">
        <is>
          <t>1892196753</t>
        </is>
      </c>
      <c r="C48" s="2" t="inlineStr">
        <is>
          <t>Step 11</t>
        </is>
      </c>
      <c r="D48" s="2">
        <f> false</f>
        <v/>
      </c>
      <c r="E48" s="2" t="n">
        <v>11</v>
      </c>
      <c r="F48" s="2" t="inlineStr">
        <is>
          <t>Branch on one property value</t>
        </is>
      </c>
      <c r="G48" s="2" t="inlineStr">
        <is>
          <t>Branch on one property value (actionTypeId STATIC_BRANCH)</t>
        </is>
      </c>
      <c r="H48" s="2" t="inlineStr">
        <is>
          <t>Branches on Portfolio Mgr: Brock Hegr; Sarah Schlosberg; Mohammad Abudahab; Not Assigned; anything else -&gt; default branch.</t>
        </is>
      </c>
      <c r="I48" s="2" t="inlineStr">
        <is>
          <t>-</t>
        </is>
      </c>
      <c r="J48" s="2" t="inlineStr">
        <is>
          <t>Portfolio Mgr</t>
        </is>
      </c>
      <c r="K48" s="2" t="inlineStr">
        <is>
          <t>-</t>
        </is>
      </c>
      <c r="L48" s="2" t="inlineStr">
        <is>
          <t>-</t>
        </is>
      </c>
      <c r="M48" s="2">
        <f> false</f>
        <v/>
      </c>
      <c r="N48" s="2" t="inlineStr">
        <is>
          <t>None</t>
        </is>
      </c>
      <c r="O48" s="2" t="inlineStr"/>
      <c r="P48" s="2" t="inlineStr">
        <is>
          <t>First action of each branch (see following rows)</t>
        </is>
      </c>
      <c r="Q48" s="2" t="inlineStr">
        <is>
          <t>Config action 7 (revision 51).</t>
        </is>
      </c>
      <c r="R48" s="2" t="inlineStr"/>
      <c r="S48" s="3" t="inlineStr">
        <is>
          <t>VERIFIED (config)</t>
        </is>
      </c>
    </row>
    <row r="49">
      <c r="A49" s="2" t="inlineStr">
        <is>
          <t>Improving Monthly Performance Reviews | Marketing Services (UPDATED)</t>
        </is>
      </c>
      <c r="B49" s="2" t="inlineStr">
        <is>
          <t>1892196753</t>
        </is>
      </c>
      <c r="C49" s="2" t="inlineStr">
        <is>
          <t>Step 12</t>
        </is>
      </c>
      <c r="D49" s="2">
        <f> false &gt; = Brock Hegr</f>
        <v/>
      </c>
      <c r="E49" s="2" t="n">
        <v>12</v>
      </c>
      <c r="F49" s="2" t="inlineStr">
        <is>
          <t>Create task</t>
        </is>
      </c>
      <c r="G49" s="2" t="inlineStr">
        <is>
          <t>Create task (actionTypeId 0-3)</t>
        </is>
      </c>
      <c r="H49" s="2" t="inlineStr">
        <is>
          <t>Creates task "Marketing Performance Review" for Brock Hegr, due 45 business day(s) after creation at 08:00.</t>
        </is>
      </c>
      <c r="I49" s="2" t="inlineStr">
        <is>
          <t>Task</t>
        </is>
      </c>
      <c r="J49" s="2" t="inlineStr">
        <is>
          <t>New task "Marketing Performance Review"</t>
        </is>
      </c>
      <c r="K49" s="2" t="inlineStr">
        <is>
          <t>(new record)</t>
        </is>
      </c>
      <c r="L49"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49" s="2">
        <f> false &gt; = Brock Hegr</f>
        <v/>
      </c>
      <c r="N49" s="2" t="inlineStr">
        <is>
          <t>None</t>
        </is>
      </c>
      <c r="O49" s="2" t="inlineStr">
        <is>
          <t>Records: none.</t>
        </is>
      </c>
      <c r="P49" s="2" t="inlineStr">
        <is>
          <t>Step 13</t>
        </is>
      </c>
      <c r="Q49" s="2" t="inlineStr">
        <is>
          <t>Config action 29 (revision 51).</t>
        </is>
      </c>
      <c r="R49"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49" s="3" t="inlineStr">
        <is>
          <t>VERIFIED (config)</t>
        </is>
      </c>
    </row>
    <row r="50">
      <c r="A50" s="2" t="inlineStr">
        <is>
          <t>Improving Monthly Performance Reviews | Marketing Services (UPDATED)</t>
        </is>
      </c>
      <c r="B50" s="2" t="inlineStr">
        <is>
          <t>1892196753</t>
        </is>
      </c>
      <c r="C50" s="2" t="inlineStr">
        <is>
          <t>Step 13</t>
        </is>
      </c>
      <c r="D50" s="2">
        <f> false &gt; = Brock Hegr</f>
        <v/>
      </c>
      <c r="E50" s="2" t="n">
        <v>13</v>
      </c>
      <c r="F50" s="2" t="inlineStr">
        <is>
          <t>Delay</t>
        </is>
      </c>
      <c r="G50" s="2" t="inlineStr">
        <is>
          <t>Delay (actionTypeId 0-1)</t>
        </is>
      </c>
      <c r="H50" s="2" t="inlineStr">
        <is>
          <t>Waits 64800 minutes (= 45 days).</t>
        </is>
      </c>
      <c r="I50" s="2" t="inlineStr">
        <is>
          <t>-</t>
        </is>
      </c>
      <c r="J50" s="2" t="inlineStr">
        <is>
          <t>-</t>
        </is>
      </c>
      <c r="K50" s="2" t="inlineStr">
        <is>
          <t>-</t>
        </is>
      </c>
      <c r="L50" s="2" t="inlineStr">
        <is>
          <t>-</t>
        </is>
      </c>
      <c r="M50" s="2">
        <f> false &gt; = Brock Hegr</f>
        <v/>
      </c>
      <c r="N50" s="2" t="inlineStr">
        <is>
          <t>This is a delay</t>
        </is>
      </c>
      <c r="O50" s="2" t="inlineStr"/>
      <c r="P50" s="2" t="inlineStr">
        <is>
          <t>End</t>
        </is>
      </c>
      <c r="Q50" s="2" t="inlineStr">
        <is>
          <t>Config action 30 (revision 51).</t>
        </is>
      </c>
      <c r="R50" s="2" t="inlineStr"/>
      <c r="S50" s="3" t="inlineStr">
        <is>
          <t>VERIFIED (config)</t>
        </is>
      </c>
    </row>
    <row r="51">
      <c r="A51" s="2" t="inlineStr">
        <is>
          <t>Improving Monthly Performance Reviews | Marketing Services (UPDATED)</t>
        </is>
      </c>
      <c r="B51" s="2" t="inlineStr">
        <is>
          <t>1892196753</t>
        </is>
      </c>
      <c r="C51" s="2" t="inlineStr">
        <is>
          <t>End</t>
        </is>
      </c>
      <c r="D51" s="2">
        <f> false &gt; = Brock Hegr</f>
        <v/>
      </c>
      <c r="E51" s="2" t="inlineStr">
        <is>
          <t>-</t>
        </is>
      </c>
      <c r="F51" s="2" t="inlineStr">
        <is>
          <t>End</t>
        </is>
      </c>
      <c r="G51" s="2" t="inlineStr">
        <is>
          <t>End of workflow</t>
        </is>
      </c>
      <c r="H51" s="2" t="inlineStr">
        <is>
          <t>Workflow ends for this record.</t>
        </is>
      </c>
      <c r="I51" s="2" t="inlineStr">
        <is>
          <t>-</t>
        </is>
      </c>
      <c r="J51" s="2" t="inlineStr">
        <is>
          <t>-</t>
        </is>
      </c>
      <c r="K51" s="2" t="inlineStr">
        <is>
          <t>-</t>
        </is>
      </c>
      <c r="L51" s="2" t="inlineStr">
        <is>
          <t>-</t>
        </is>
      </c>
      <c r="M51" s="2">
        <f> false &gt; = Brock Hegr</f>
        <v/>
      </c>
      <c r="N51" s="2" t="inlineStr">
        <is>
          <t>None</t>
        </is>
      </c>
      <c r="O51" s="2" t="inlineStr">
        <is>
          <t>Record leaves the workflow</t>
        </is>
      </c>
      <c r="P51" s="2" t="inlineStr">
        <is>
          <t>No in-scope workflow is triggered by this workflow.</t>
        </is>
      </c>
      <c r="Q51" s="2" t="inlineStr">
        <is>
          <t>Workflow config</t>
        </is>
      </c>
      <c r="R51" s="2" t="inlineStr"/>
      <c r="S51" s="3" t="inlineStr">
        <is>
          <t>VERIFIED (config)</t>
        </is>
      </c>
    </row>
    <row r="52">
      <c r="A52" s="2" t="inlineStr">
        <is>
          <t>Improving Monthly Performance Reviews | Marketing Services (UPDATED)</t>
        </is>
      </c>
      <c r="B52" s="2" t="inlineStr">
        <is>
          <t>1892196753</t>
        </is>
      </c>
      <c r="C52" s="2" t="inlineStr">
        <is>
          <t>Step 14</t>
        </is>
      </c>
      <c r="D52" s="2">
        <f> false &gt; = Sarah Schlosberg</f>
        <v/>
      </c>
      <c r="E52" s="2" t="n">
        <v>14</v>
      </c>
      <c r="F52" s="2" t="inlineStr">
        <is>
          <t>Create task</t>
        </is>
      </c>
      <c r="G52" s="2" t="inlineStr">
        <is>
          <t>Create task (actionTypeId 0-3)</t>
        </is>
      </c>
      <c r="H52" s="2" t="inlineStr">
        <is>
          <t>Creates task "Marketing Performance Review" for Sarah Schlosberg, due 45 business day(s) after creation at 08:00.</t>
        </is>
      </c>
      <c r="I52" s="2" t="inlineStr">
        <is>
          <t>Task</t>
        </is>
      </c>
      <c r="J52" s="2" t="inlineStr">
        <is>
          <t>New task "Marketing Performance Review"</t>
        </is>
      </c>
      <c r="K52" s="2" t="inlineStr">
        <is>
          <t>(new record)</t>
        </is>
      </c>
      <c r="L52"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52" s="2">
        <f> false &gt; = Sarah Schlosberg</f>
        <v/>
      </c>
      <c r="N52" s="2" t="inlineStr">
        <is>
          <t>None</t>
        </is>
      </c>
      <c r="O52" s="2" t="inlineStr">
        <is>
          <t>Records: none.</t>
        </is>
      </c>
      <c r="P52" s="2" t="inlineStr">
        <is>
          <t>Step 15</t>
        </is>
      </c>
      <c r="Q52" s="2" t="inlineStr">
        <is>
          <t>Config action 31 (revision 51).</t>
        </is>
      </c>
      <c r="R52"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52" s="3" t="inlineStr">
        <is>
          <t>VERIFIED (config)</t>
        </is>
      </c>
    </row>
    <row r="53">
      <c r="A53" s="2" t="inlineStr">
        <is>
          <t>Improving Monthly Performance Reviews | Marketing Services (UPDATED)</t>
        </is>
      </c>
      <c r="B53" s="2" t="inlineStr">
        <is>
          <t>1892196753</t>
        </is>
      </c>
      <c r="C53" s="2" t="inlineStr">
        <is>
          <t>Step 15</t>
        </is>
      </c>
      <c r="D53" s="2">
        <f> false &gt; = Sarah Schlosberg</f>
        <v/>
      </c>
      <c r="E53" s="2" t="n">
        <v>15</v>
      </c>
      <c r="F53" s="2" t="inlineStr">
        <is>
          <t>Delay</t>
        </is>
      </c>
      <c r="G53" s="2" t="inlineStr">
        <is>
          <t>Delay (actionTypeId 0-1)</t>
        </is>
      </c>
      <c r="H53" s="2" t="inlineStr">
        <is>
          <t>Waits 64800 minutes (= 45 days).</t>
        </is>
      </c>
      <c r="I53" s="2" t="inlineStr">
        <is>
          <t>-</t>
        </is>
      </c>
      <c r="J53" s="2" t="inlineStr">
        <is>
          <t>-</t>
        </is>
      </c>
      <c r="K53" s="2" t="inlineStr">
        <is>
          <t>-</t>
        </is>
      </c>
      <c r="L53" s="2" t="inlineStr">
        <is>
          <t>-</t>
        </is>
      </c>
      <c r="M53" s="2">
        <f> false &gt; = Sarah Schlosberg</f>
        <v/>
      </c>
      <c r="N53" s="2" t="inlineStr">
        <is>
          <t>This is a delay</t>
        </is>
      </c>
      <c r="O53" s="2" t="inlineStr"/>
      <c r="P53" s="2" t="inlineStr">
        <is>
          <t>End</t>
        </is>
      </c>
      <c r="Q53" s="2" t="inlineStr">
        <is>
          <t>Config action 32 (revision 51).</t>
        </is>
      </c>
      <c r="R53" s="2" t="inlineStr"/>
      <c r="S53" s="3" t="inlineStr">
        <is>
          <t>VERIFIED (config)</t>
        </is>
      </c>
    </row>
    <row r="54">
      <c r="A54" s="2" t="inlineStr">
        <is>
          <t>Improving Monthly Performance Reviews | Marketing Services (UPDATED)</t>
        </is>
      </c>
      <c r="B54" s="2" t="inlineStr">
        <is>
          <t>1892196753</t>
        </is>
      </c>
      <c r="C54" s="2" t="inlineStr">
        <is>
          <t>End</t>
        </is>
      </c>
      <c r="D54" s="2">
        <f> false &gt; = Sarah Schlosberg</f>
        <v/>
      </c>
      <c r="E54" s="2" t="inlineStr">
        <is>
          <t>-</t>
        </is>
      </c>
      <c r="F54" s="2" t="inlineStr">
        <is>
          <t>End</t>
        </is>
      </c>
      <c r="G54" s="2" t="inlineStr">
        <is>
          <t>End of workflow</t>
        </is>
      </c>
      <c r="H54" s="2" t="inlineStr">
        <is>
          <t>Workflow ends for this record.</t>
        </is>
      </c>
      <c r="I54" s="2" t="inlineStr">
        <is>
          <t>-</t>
        </is>
      </c>
      <c r="J54" s="2" t="inlineStr">
        <is>
          <t>-</t>
        </is>
      </c>
      <c r="K54" s="2" t="inlineStr">
        <is>
          <t>-</t>
        </is>
      </c>
      <c r="L54" s="2" t="inlineStr">
        <is>
          <t>-</t>
        </is>
      </c>
      <c r="M54" s="2">
        <f> false &gt; = Sarah Schlosberg</f>
        <v/>
      </c>
      <c r="N54" s="2" t="inlineStr">
        <is>
          <t>None</t>
        </is>
      </c>
      <c r="O54" s="2" t="inlineStr">
        <is>
          <t>Record leaves the workflow</t>
        </is>
      </c>
      <c r="P54" s="2" t="inlineStr">
        <is>
          <t>No in-scope workflow is triggered by this workflow.</t>
        </is>
      </c>
      <c r="Q54" s="2" t="inlineStr">
        <is>
          <t>Workflow config</t>
        </is>
      </c>
      <c r="R54" s="2" t="inlineStr"/>
      <c r="S54" s="3" t="inlineStr">
        <is>
          <t>VERIFIED (config)</t>
        </is>
      </c>
    </row>
    <row r="55">
      <c r="A55" s="2" t="inlineStr">
        <is>
          <t>Improving Monthly Performance Reviews | Marketing Services (UPDATED)</t>
        </is>
      </c>
      <c r="B55" s="2" t="inlineStr">
        <is>
          <t>1892196753</t>
        </is>
      </c>
      <c r="C55" s="2" t="inlineStr">
        <is>
          <t>Step 16</t>
        </is>
      </c>
      <c r="D55" s="2">
        <f> false &gt; = Mohammad Abudahab</f>
        <v/>
      </c>
      <c r="E55" s="2" t="n">
        <v>16</v>
      </c>
      <c r="F55" s="2" t="inlineStr">
        <is>
          <t>Create task</t>
        </is>
      </c>
      <c r="G55" s="2" t="inlineStr">
        <is>
          <t>Create task (actionTypeId 0-3)</t>
        </is>
      </c>
      <c r="H55" s="2" t="inlineStr">
        <is>
          <t>Creates task "Marketing Performance Review" for Mohammad Abudahab, due 45 business day(s) after creation at 08:00.</t>
        </is>
      </c>
      <c r="I55" s="2" t="inlineStr">
        <is>
          <t>Task</t>
        </is>
      </c>
      <c r="J55" s="2" t="inlineStr">
        <is>
          <t>New task "Marketing Performance Review"</t>
        </is>
      </c>
      <c r="K55" s="2" t="inlineStr">
        <is>
          <t>(new record)</t>
        </is>
      </c>
      <c r="L55"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55" s="2">
        <f> false &gt; = Mohammad Abudahab</f>
        <v/>
      </c>
      <c r="N55" s="2" t="inlineStr">
        <is>
          <t>None</t>
        </is>
      </c>
      <c r="O55" s="2" t="inlineStr">
        <is>
          <t>Records: none.</t>
        </is>
      </c>
      <c r="P55" s="2" t="inlineStr">
        <is>
          <t>Step 17</t>
        </is>
      </c>
      <c r="Q55" s="2" t="inlineStr">
        <is>
          <t>Config action 33 (revision 51).</t>
        </is>
      </c>
      <c r="R5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55" s="3" t="inlineStr">
        <is>
          <t>VERIFIED (config)</t>
        </is>
      </c>
    </row>
    <row r="56">
      <c r="A56" s="2" t="inlineStr">
        <is>
          <t>Improving Monthly Performance Reviews | Marketing Services (UPDATED)</t>
        </is>
      </c>
      <c r="B56" s="2" t="inlineStr">
        <is>
          <t>1892196753</t>
        </is>
      </c>
      <c r="C56" s="2" t="inlineStr">
        <is>
          <t>Step 17</t>
        </is>
      </c>
      <c r="D56" s="2">
        <f> false &gt; = Mohammad Abudahab</f>
        <v/>
      </c>
      <c r="E56" s="2" t="n">
        <v>17</v>
      </c>
      <c r="F56" s="2" t="inlineStr">
        <is>
          <t>Delay</t>
        </is>
      </c>
      <c r="G56" s="2" t="inlineStr">
        <is>
          <t>Delay (actionTypeId 0-1)</t>
        </is>
      </c>
      <c r="H56" s="2" t="inlineStr">
        <is>
          <t>Waits 64800 minutes (= 45 days).</t>
        </is>
      </c>
      <c r="I56" s="2" t="inlineStr">
        <is>
          <t>-</t>
        </is>
      </c>
      <c r="J56" s="2" t="inlineStr">
        <is>
          <t>-</t>
        </is>
      </c>
      <c r="K56" s="2" t="inlineStr">
        <is>
          <t>-</t>
        </is>
      </c>
      <c r="L56" s="2" t="inlineStr">
        <is>
          <t>-</t>
        </is>
      </c>
      <c r="M56" s="2">
        <f> false &gt; = Mohammad Abudahab</f>
        <v/>
      </c>
      <c r="N56" s="2" t="inlineStr">
        <is>
          <t>This is a delay</t>
        </is>
      </c>
      <c r="O56" s="2" t="inlineStr"/>
      <c r="P56" s="2" t="inlineStr">
        <is>
          <t>End</t>
        </is>
      </c>
      <c r="Q56" s="2" t="inlineStr">
        <is>
          <t>Config action 34 (revision 51).</t>
        </is>
      </c>
      <c r="R56" s="2" t="inlineStr"/>
      <c r="S56" s="3" t="inlineStr">
        <is>
          <t>VERIFIED (config)</t>
        </is>
      </c>
    </row>
    <row r="57">
      <c r="A57" s="2" t="inlineStr">
        <is>
          <t>Improving Monthly Performance Reviews | Marketing Services (UPDATED)</t>
        </is>
      </c>
      <c r="B57" s="2" t="inlineStr">
        <is>
          <t>1892196753</t>
        </is>
      </c>
      <c r="C57" s="2" t="inlineStr">
        <is>
          <t>End</t>
        </is>
      </c>
      <c r="D57" s="2">
        <f> false &gt; = Mohammad Abudahab</f>
        <v/>
      </c>
      <c r="E57" s="2" t="inlineStr">
        <is>
          <t>-</t>
        </is>
      </c>
      <c r="F57" s="2" t="inlineStr">
        <is>
          <t>End</t>
        </is>
      </c>
      <c r="G57" s="2" t="inlineStr">
        <is>
          <t>End of workflow</t>
        </is>
      </c>
      <c r="H57" s="2" t="inlineStr">
        <is>
          <t>Workflow ends for this record.</t>
        </is>
      </c>
      <c r="I57" s="2" t="inlineStr">
        <is>
          <t>-</t>
        </is>
      </c>
      <c r="J57" s="2" t="inlineStr">
        <is>
          <t>-</t>
        </is>
      </c>
      <c r="K57" s="2" t="inlineStr">
        <is>
          <t>-</t>
        </is>
      </c>
      <c r="L57" s="2" t="inlineStr">
        <is>
          <t>-</t>
        </is>
      </c>
      <c r="M57" s="2">
        <f> false &gt; = Mohammad Abudahab</f>
        <v/>
      </c>
      <c r="N57" s="2" t="inlineStr">
        <is>
          <t>None</t>
        </is>
      </c>
      <c r="O57" s="2" t="inlineStr">
        <is>
          <t>Record leaves the workflow</t>
        </is>
      </c>
      <c r="P57" s="2" t="inlineStr">
        <is>
          <t>No in-scope workflow is triggered by this workflow.</t>
        </is>
      </c>
      <c r="Q57" s="2" t="inlineStr">
        <is>
          <t>Workflow config</t>
        </is>
      </c>
      <c r="R57" s="2" t="inlineStr"/>
      <c r="S57" s="3" t="inlineStr">
        <is>
          <t>VERIFIED (config)</t>
        </is>
      </c>
    </row>
    <row r="58">
      <c r="A58" s="2" t="inlineStr">
        <is>
          <t>Improving Monthly Performance Reviews | Marketing Services (UPDATED)</t>
        </is>
      </c>
      <c r="B58" s="2" t="inlineStr">
        <is>
          <t>1892196753</t>
        </is>
      </c>
      <c r="C58" s="2" t="inlineStr">
        <is>
          <t>Step 18</t>
        </is>
      </c>
      <c r="D58" s="2">
        <f> false &gt; = Not Assigned</f>
        <v/>
      </c>
      <c r="E58" s="2" t="n">
        <v>18</v>
      </c>
      <c r="F58" s="2" t="inlineStr">
        <is>
          <t>Create task</t>
        </is>
      </c>
      <c r="G58" s="2" t="inlineStr">
        <is>
          <t>Create task (actionTypeId 0-3)</t>
        </is>
      </c>
      <c r="H58" s="2" t="inlineStr">
        <is>
          <t>Creates task "Marketing Performance Review" for No owner set, due 45 business day(s) after creation at 08:00.</t>
        </is>
      </c>
      <c r="I58" s="2" t="inlineStr">
        <is>
          <t>Task</t>
        </is>
      </c>
      <c r="J58" s="2" t="inlineStr">
        <is>
          <t>New task "Marketing Performance Review"</t>
        </is>
      </c>
      <c r="K58" s="2" t="inlineStr">
        <is>
          <t>(new record)</t>
        </is>
      </c>
      <c r="L58"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58" s="2">
        <f> false &gt; = Not Assigned</f>
        <v/>
      </c>
      <c r="N58" s="2" t="inlineStr">
        <is>
          <t>None</t>
        </is>
      </c>
      <c r="O58" s="2" t="inlineStr">
        <is>
          <t>Records: none.</t>
        </is>
      </c>
      <c r="P58" s="2" t="inlineStr">
        <is>
          <t>Step 19</t>
        </is>
      </c>
      <c r="Q58" s="2" t="inlineStr">
        <is>
          <t>Config action 35 (revision 51).</t>
        </is>
      </c>
      <c r="R5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58" s="3" t="inlineStr">
        <is>
          <t>VERIFIED (config)</t>
        </is>
      </c>
    </row>
    <row r="59">
      <c r="A59" s="2" t="inlineStr">
        <is>
          <t>Improving Monthly Performance Reviews | Marketing Services (UPDATED)</t>
        </is>
      </c>
      <c r="B59" s="2" t="inlineStr">
        <is>
          <t>1892196753</t>
        </is>
      </c>
      <c r="C59" s="2" t="inlineStr">
        <is>
          <t>Step 19</t>
        </is>
      </c>
      <c r="D59" s="2">
        <f> false &gt; = Not Assigned</f>
        <v/>
      </c>
      <c r="E59" s="2" t="n">
        <v>19</v>
      </c>
      <c r="F59" s="2" t="inlineStr">
        <is>
          <t>Delay</t>
        </is>
      </c>
      <c r="G59" s="2" t="inlineStr">
        <is>
          <t>Delay (actionTypeId 0-1)</t>
        </is>
      </c>
      <c r="H59" s="2" t="inlineStr">
        <is>
          <t>Waits 64800 minutes (= 45 days).</t>
        </is>
      </c>
      <c r="I59" s="2" t="inlineStr">
        <is>
          <t>-</t>
        </is>
      </c>
      <c r="J59" s="2" t="inlineStr">
        <is>
          <t>-</t>
        </is>
      </c>
      <c r="K59" s="2" t="inlineStr">
        <is>
          <t>-</t>
        </is>
      </c>
      <c r="L59" s="2" t="inlineStr">
        <is>
          <t>-</t>
        </is>
      </c>
      <c r="M59" s="2">
        <f> false &gt; = Not Assigned</f>
        <v/>
      </c>
      <c r="N59" s="2" t="inlineStr">
        <is>
          <t>This is a delay</t>
        </is>
      </c>
      <c r="O59" s="2" t="inlineStr"/>
      <c r="P59" s="2" t="inlineStr">
        <is>
          <t>End</t>
        </is>
      </c>
      <c r="Q59" s="2" t="inlineStr">
        <is>
          <t>Config action 36 (revision 51).</t>
        </is>
      </c>
      <c r="R59" s="2" t="inlineStr"/>
      <c r="S59" s="3" t="inlineStr">
        <is>
          <t>VERIFIED (config)</t>
        </is>
      </c>
    </row>
    <row r="60">
      <c r="A60" s="2" t="inlineStr">
        <is>
          <t>Improving Monthly Performance Reviews | Marketing Services (UPDATED)</t>
        </is>
      </c>
      <c r="B60" s="2" t="inlineStr">
        <is>
          <t>1892196753</t>
        </is>
      </c>
      <c r="C60" s="2" t="inlineStr">
        <is>
          <t>End</t>
        </is>
      </c>
      <c r="D60" s="2">
        <f> false &gt; = Not Assigned</f>
        <v/>
      </c>
      <c r="E60" s="2" t="inlineStr">
        <is>
          <t>-</t>
        </is>
      </c>
      <c r="F60" s="2" t="inlineStr">
        <is>
          <t>End</t>
        </is>
      </c>
      <c r="G60" s="2" t="inlineStr">
        <is>
          <t>End of workflow</t>
        </is>
      </c>
      <c r="H60" s="2" t="inlineStr">
        <is>
          <t>Workflow ends for this record.</t>
        </is>
      </c>
      <c r="I60" s="2" t="inlineStr">
        <is>
          <t>-</t>
        </is>
      </c>
      <c r="J60" s="2" t="inlineStr">
        <is>
          <t>-</t>
        </is>
      </c>
      <c r="K60" s="2" t="inlineStr">
        <is>
          <t>-</t>
        </is>
      </c>
      <c r="L60" s="2" t="inlineStr">
        <is>
          <t>-</t>
        </is>
      </c>
      <c r="M60" s="2">
        <f> false &gt; = Not Assigned</f>
        <v/>
      </c>
      <c r="N60" s="2" t="inlineStr">
        <is>
          <t>None</t>
        </is>
      </c>
      <c r="O60" s="2" t="inlineStr">
        <is>
          <t>Record leaves the workflow</t>
        </is>
      </c>
      <c r="P60" s="2" t="inlineStr">
        <is>
          <t>No in-scope workflow is triggered by this workflow.</t>
        </is>
      </c>
      <c r="Q60" s="2" t="inlineStr">
        <is>
          <t>Workflow config</t>
        </is>
      </c>
      <c r="R60" s="2" t="inlineStr"/>
      <c r="S60" s="3" t="inlineStr">
        <is>
          <t>VERIFIED (config)</t>
        </is>
      </c>
    </row>
    <row r="61">
      <c r="A61" s="2" t="inlineStr">
        <is>
          <t>Improving Monthly Performance Reviews | Marketing Services (UPDATED)</t>
        </is>
      </c>
      <c r="B61" s="2" t="inlineStr">
        <is>
          <t>1892196753</t>
        </is>
      </c>
      <c r="C61" s="2" t="inlineStr">
        <is>
          <t>Go to</t>
        </is>
      </c>
      <c r="D61" s="2">
        <f> false &gt; any other value</f>
        <v/>
      </c>
      <c r="E61" s="2" t="inlineStr">
        <is>
          <t>-</t>
        </is>
      </c>
      <c r="F61" s="2" t="inlineStr">
        <is>
          <t>Go to action</t>
        </is>
      </c>
      <c r="G61" s="2" t="inlineStr">
        <is>
          <t>Branch rejoins</t>
        </is>
      </c>
      <c r="H61" s="2" t="inlineStr">
        <is>
          <t>Continues at step 18.</t>
        </is>
      </c>
      <c r="I61" s="2" t="inlineStr">
        <is>
          <t>-</t>
        </is>
      </c>
      <c r="J61" s="2" t="inlineStr">
        <is>
          <t>-</t>
        </is>
      </c>
      <c r="K61" s="2" t="inlineStr">
        <is>
          <t>-</t>
        </is>
      </c>
      <c r="L61" s="2" t="inlineStr">
        <is>
          <t>-</t>
        </is>
      </c>
      <c r="M61" s="2">
        <f> false &gt; any other value</f>
        <v/>
      </c>
      <c r="N61" s="2" t="inlineStr">
        <is>
          <t>None</t>
        </is>
      </c>
      <c r="O61" s="2" t="inlineStr">
        <is>
          <t>-</t>
        </is>
      </c>
      <c r="P61" s="2" t="inlineStr">
        <is>
          <t>Step 18</t>
        </is>
      </c>
      <c r="Q61" s="2" t="inlineStr">
        <is>
          <t>Workflow config</t>
        </is>
      </c>
      <c r="R61" s="2" t="inlineStr"/>
      <c r="S61" s="3" t="inlineStr">
        <is>
          <t>VERIFIED (config)</t>
        </is>
      </c>
    </row>
    <row r="62">
      <c r="A62" s="2" t="inlineStr">
        <is>
          <t>Standalone Marketing | Monthly Performance Reviews | Marketing Services (UPDATED)</t>
        </is>
      </c>
      <c r="B62" s="2" t="inlineStr">
        <is>
          <t>1892197644</t>
        </is>
      </c>
      <c r="C62" s="2" t="inlineStr">
        <is>
          <t>Trigger</t>
        </is>
      </c>
      <c r="D62" s="2" t="inlineStr">
        <is>
          <t>-</t>
        </is>
      </c>
      <c r="E62" s="2" t="n">
        <v>0</v>
      </c>
      <c r="F62" s="2" t="inlineStr">
        <is>
          <t>Enrollment trigger</t>
        </is>
      </c>
      <c r="G62" s="2" t="inlineStr">
        <is>
          <t>Records meet custom conditions (filter-based)</t>
        </is>
      </c>
      <c r="H62" s="2" t="inlineStr">
        <is>
          <t>Enrolls a company when: Standalone Services is any of Marketing AND Status is any of Live AND PPC Enrolled (Yes/No) is any of Yes. Enrollment is re-checked every month on day(s) 5 at 00:00.</t>
        </is>
      </c>
      <c r="I62" s="2" t="inlineStr">
        <is>
          <t>Company</t>
        </is>
      </c>
      <c r="J62" s="2" t="inlineStr">
        <is>
          <t>-</t>
        </is>
      </c>
      <c r="K62" s="2" t="inlineStr">
        <is>
          <t>-</t>
        </is>
      </c>
      <c r="L62" s="2" t="inlineStr">
        <is>
          <t>Standalone Services is any of Marketing AND Status is any of Live AND PPC Enrolled (Yes/No) is any of Yes</t>
        </is>
      </c>
      <c r="M62" s="2" t="inlineStr">
        <is>
          <t>All listed conditions</t>
        </is>
      </c>
      <c r="N62" s="2" t="inlineStr">
        <is>
          <t>None</t>
        </is>
      </c>
      <c r="O62" s="2" t="inlineStr">
        <is>
          <t>Re-enroll: ON. Unenroll if no longer meets criteria: OFF. Suppression (never enroll / unenroll): none. Schedule: re-checked every month on day(s) 5 at 00:00.</t>
        </is>
      </c>
      <c r="P62" s="2" t="inlineStr">
        <is>
          <t>Step 1</t>
        </is>
      </c>
      <c r="Q62" s="2" t="inlineStr">
        <is>
          <t>Config GET /automation/v4/flows/1892197644 (revision 19, updated 2026-10-06). https://app.hubspot.com/workflows/45059701/platform/flow/1892197644/edit</t>
        </is>
      </c>
      <c r="R62" s="2" t="inlineStr"/>
      <c r="S62" s="3" t="inlineStr">
        <is>
          <t>VERIFIED (config)</t>
        </is>
      </c>
    </row>
    <row r="63">
      <c r="A63" s="2" t="inlineStr">
        <is>
          <t>Standalone Marketing | Monthly Performance Reviews | Marketing Services (UPDATED)</t>
        </is>
      </c>
      <c r="B63" s="2" t="inlineStr">
        <is>
          <t>1892197644</t>
        </is>
      </c>
      <c r="C63" s="2" t="inlineStr">
        <is>
          <t>Step 1</t>
        </is>
      </c>
      <c r="D63" s="2" t="inlineStr">
        <is>
          <t>Main path (no branch)</t>
        </is>
      </c>
      <c r="E63" s="2" t="n">
        <v>1</v>
      </c>
      <c r="F63" s="2" t="inlineStr">
        <is>
          <t>Branch on one property value</t>
        </is>
      </c>
      <c r="G63" s="2" t="inlineStr">
        <is>
          <t>Branch on one property value (actionTypeId STATIC_BRANCH)</t>
        </is>
      </c>
      <c r="H63" s="2" t="inlineStr">
        <is>
          <t>Branches on SpareFoot (Y/N): true; false; anything else -&gt; ends.</t>
        </is>
      </c>
      <c r="I63" s="2" t="inlineStr">
        <is>
          <t>-</t>
        </is>
      </c>
      <c r="J63" s="2" t="inlineStr">
        <is>
          <t>SpareFoot (Y/N)</t>
        </is>
      </c>
      <c r="K63" s="2" t="inlineStr">
        <is>
          <t>-</t>
        </is>
      </c>
      <c r="L63" s="2" t="inlineStr">
        <is>
          <t>-</t>
        </is>
      </c>
      <c r="M63" s="2" t="inlineStr">
        <is>
          <t>Always (no branch)</t>
        </is>
      </c>
      <c r="N63" s="2" t="inlineStr">
        <is>
          <t>None</t>
        </is>
      </c>
      <c r="O63" s="2" t="inlineStr"/>
      <c r="P63" s="2" t="inlineStr">
        <is>
          <t>First action of each branch (see following rows)</t>
        </is>
      </c>
      <c r="Q63" s="2" t="inlineStr">
        <is>
          <t>Config action 2 (revision 19).</t>
        </is>
      </c>
      <c r="R63" s="2" t="inlineStr"/>
      <c r="S63" s="3" t="inlineStr">
        <is>
          <t>VERIFIED (config)</t>
        </is>
      </c>
    </row>
    <row r="64">
      <c r="A64" s="2" t="inlineStr">
        <is>
          <t>Standalone Marketing | Monthly Performance Reviews | Marketing Services (UPDATED)</t>
        </is>
      </c>
      <c r="B64" s="2" t="inlineStr">
        <is>
          <t>1892197644</t>
        </is>
      </c>
      <c r="C64" s="2" t="inlineStr">
        <is>
          <t>Step 2</t>
        </is>
      </c>
      <c r="D64" s="2">
        <f> true</f>
        <v/>
      </c>
      <c r="E64" s="2" t="n">
        <v>2</v>
      </c>
      <c r="F64" s="2" t="inlineStr">
        <is>
          <t>Branch on one property value</t>
        </is>
      </c>
      <c r="G64" s="2" t="inlineStr">
        <is>
          <t>Branch on one property value (actionTypeId STATIC_BRANCH)</t>
        </is>
      </c>
      <c r="H64" s="2" t="inlineStr">
        <is>
          <t>Branches on Portfolio Mgr: Brock Hegr; Sarah Schlosberg; Mohammad Abudahab; Not Assigned; anything else -&gt; default branch.</t>
        </is>
      </c>
      <c r="I64" s="2" t="inlineStr">
        <is>
          <t>-</t>
        </is>
      </c>
      <c r="J64" s="2" t="inlineStr">
        <is>
          <t>Portfolio Mgr</t>
        </is>
      </c>
      <c r="K64" s="2" t="inlineStr">
        <is>
          <t>-</t>
        </is>
      </c>
      <c r="L64" s="2" t="inlineStr">
        <is>
          <t>-</t>
        </is>
      </c>
      <c r="M64" s="2">
        <f> true</f>
        <v/>
      </c>
      <c r="N64" s="2" t="inlineStr">
        <is>
          <t>None</t>
        </is>
      </c>
      <c r="O64" s="2" t="inlineStr"/>
      <c r="P64" s="2" t="inlineStr">
        <is>
          <t>First action of each branch (see following rows)</t>
        </is>
      </c>
      <c r="Q64" s="2" t="inlineStr">
        <is>
          <t>Config action 15 (revision 19).</t>
        </is>
      </c>
      <c r="R64" s="2" t="inlineStr"/>
      <c r="S64" s="3" t="inlineStr">
        <is>
          <t>VERIFIED (config)</t>
        </is>
      </c>
    </row>
    <row r="65">
      <c r="A65" s="2" t="inlineStr">
        <is>
          <t>Standalone Marketing | Monthly Performance Reviews | Marketing Services (UPDATED)</t>
        </is>
      </c>
      <c r="B65" s="2" t="inlineStr">
        <is>
          <t>1892197644</t>
        </is>
      </c>
      <c r="C65" s="2" t="inlineStr">
        <is>
          <t>Step 3</t>
        </is>
      </c>
      <c r="D65" s="2">
        <f> true &gt; = Brock Hegr</f>
        <v/>
      </c>
      <c r="E65" s="2" t="n">
        <v>3</v>
      </c>
      <c r="F65" s="2" t="inlineStr">
        <is>
          <t>Create task</t>
        </is>
      </c>
      <c r="G65" s="2" t="inlineStr">
        <is>
          <t>Create task (actionTypeId 0-3)</t>
        </is>
      </c>
      <c r="H65" s="2" t="inlineStr">
        <is>
          <t>Creates task "Marketing Performance Review" for Brock Hegr, due 45 business day(s) after creation at 08:00.</t>
        </is>
      </c>
      <c r="I65" s="2" t="inlineStr">
        <is>
          <t>Task</t>
        </is>
      </c>
      <c r="J65" s="2" t="inlineStr">
        <is>
          <t>New task "Marketing Performance Review"</t>
        </is>
      </c>
      <c r="K65" s="2" t="inlineStr">
        <is>
          <t>(new record)</t>
        </is>
      </c>
      <c r="L65"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65" s="2">
        <f> true &gt; = Brock Hegr</f>
        <v/>
      </c>
      <c r="N65" s="2" t="inlineStr">
        <is>
          <t>None</t>
        </is>
      </c>
      <c r="O65" s="2" t="inlineStr">
        <is>
          <t>Records: none.</t>
        </is>
      </c>
      <c r="P65" s="2" t="inlineStr">
        <is>
          <t>Step 4</t>
        </is>
      </c>
      <c r="Q65" s="2" t="inlineStr">
        <is>
          <t>Config action 10 (revision 19).</t>
        </is>
      </c>
      <c r="R6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65" s="3" t="inlineStr">
        <is>
          <t>VERIFIED (config)</t>
        </is>
      </c>
    </row>
    <row r="66">
      <c r="A66" s="2" t="inlineStr">
        <is>
          <t>Standalone Marketing | Monthly Performance Reviews | Marketing Services (UPDATED)</t>
        </is>
      </c>
      <c r="B66" s="2" t="inlineStr">
        <is>
          <t>1892197644</t>
        </is>
      </c>
      <c r="C66" s="2" t="inlineStr">
        <is>
          <t>Step 4</t>
        </is>
      </c>
      <c r="D66" s="2">
        <f> true &gt; = Brock Hegr</f>
        <v/>
      </c>
      <c r="E66" s="2" t="n">
        <v>4</v>
      </c>
      <c r="F66" s="2" t="inlineStr">
        <is>
          <t>Delay</t>
        </is>
      </c>
      <c r="G66" s="2" t="inlineStr">
        <is>
          <t>Delay (actionTypeId 0-1)</t>
        </is>
      </c>
      <c r="H66" s="2" t="inlineStr">
        <is>
          <t>Waits 64800 minutes (= 45 days).</t>
        </is>
      </c>
      <c r="I66" s="2" t="inlineStr">
        <is>
          <t>-</t>
        </is>
      </c>
      <c r="J66" s="2" t="inlineStr">
        <is>
          <t>-</t>
        </is>
      </c>
      <c r="K66" s="2" t="inlineStr">
        <is>
          <t>-</t>
        </is>
      </c>
      <c r="L66" s="2" t="inlineStr">
        <is>
          <t>-</t>
        </is>
      </c>
      <c r="M66" s="2">
        <f> true &gt; = Brock Hegr</f>
        <v/>
      </c>
      <c r="N66" s="2" t="inlineStr">
        <is>
          <t>This is a delay</t>
        </is>
      </c>
      <c r="O66" s="2" t="inlineStr"/>
      <c r="P66" s="2" t="inlineStr">
        <is>
          <t>End</t>
        </is>
      </c>
      <c r="Q66" s="2" t="inlineStr">
        <is>
          <t>Config action 23 (revision 19).</t>
        </is>
      </c>
      <c r="R66" s="2" t="inlineStr"/>
      <c r="S66" s="3" t="inlineStr">
        <is>
          <t>VERIFIED (config)</t>
        </is>
      </c>
    </row>
    <row r="67">
      <c r="A67" s="2" t="inlineStr">
        <is>
          <t>Standalone Marketing | Monthly Performance Reviews | Marketing Services (UPDATED)</t>
        </is>
      </c>
      <c r="B67" s="2" t="inlineStr">
        <is>
          <t>1892197644</t>
        </is>
      </c>
      <c r="C67" s="2" t="inlineStr">
        <is>
          <t>End</t>
        </is>
      </c>
      <c r="D67" s="2">
        <f> true &gt; = Brock Hegr</f>
        <v/>
      </c>
      <c r="E67" s="2" t="inlineStr">
        <is>
          <t>-</t>
        </is>
      </c>
      <c r="F67" s="2" t="inlineStr">
        <is>
          <t>End</t>
        </is>
      </c>
      <c r="G67" s="2" t="inlineStr">
        <is>
          <t>End of workflow</t>
        </is>
      </c>
      <c r="H67" s="2" t="inlineStr">
        <is>
          <t>Workflow ends for this record.</t>
        </is>
      </c>
      <c r="I67" s="2" t="inlineStr">
        <is>
          <t>-</t>
        </is>
      </c>
      <c r="J67" s="2" t="inlineStr">
        <is>
          <t>-</t>
        </is>
      </c>
      <c r="K67" s="2" t="inlineStr">
        <is>
          <t>-</t>
        </is>
      </c>
      <c r="L67" s="2" t="inlineStr">
        <is>
          <t>-</t>
        </is>
      </c>
      <c r="M67" s="2">
        <f> true &gt; = Brock Hegr</f>
        <v/>
      </c>
      <c r="N67" s="2" t="inlineStr">
        <is>
          <t>None</t>
        </is>
      </c>
      <c r="O67" s="2" t="inlineStr">
        <is>
          <t>Record leaves the workflow</t>
        </is>
      </c>
      <c r="P67" s="2" t="inlineStr">
        <is>
          <t>No in-scope workflow is triggered by this workflow.</t>
        </is>
      </c>
      <c r="Q67" s="2" t="inlineStr">
        <is>
          <t>Workflow config</t>
        </is>
      </c>
      <c r="R67" s="2" t="inlineStr"/>
      <c r="S67" s="3" t="inlineStr">
        <is>
          <t>VERIFIED (config)</t>
        </is>
      </c>
    </row>
    <row r="68">
      <c r="A68" s="2" t="inlineStr">
        <is>
          <t>Standalone Marketing | Monthly Performance Reviews | Marketing Services (UPDATED)</t>
        </is>
      </c>
      <c r="B68" s="2" t="inlineStr">
        <is>
          <t>1892197644</t>
        </is>
      </c>
      <c r="C68" s="2" t="inlineStr">
        <is>
          <t>Step 5</t>
        </is>
      </c>
      <c r="D68" s="2">
        <f> true &gt; = Sarah Schlosberg</f>
        <v/>
      </c>
      <c r="E68" s="2" t="n">
        <v>5</v>
      </c>
      <c r="F68" s="2" t="inlineStr">
        <is>
          <t>Create task</t>
        </is>
      </c>
      <c r="G68" s="2" t="inlineStr">
        <is>
          <t>Create task (actionTypeId 0-3)</t>
        </is>
      </c>
      <c r="H68" s="2" t="inlineStr">
        <is>
          <t>Creates task "Marketing Performance Review" for Sarah Schlosberg, due 45 business day(s) after creation at 08:00.</t>
        </is>
      </c>
      <c r="I68" s="2" t="inlineStr">
        <is>
          <t>Task</t>
        </is>
      </c>
      <c r="J68" s="2" t="inlineStr">
        <is>
          <t>New task "Marketing Performance Review"</t>
        </is>
      </c>
      <c r="K68" s="2" t="inlineStr">
        <is>
          <t>(new record)</t>
        </is>
      </c>
      <c r="L68"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68" s="2">
        <f> true &gt; = Sarah Schlosberg</f>
        <v/>
      </c>
      <c r="N68" s="2" t="inlineStr">
        <is>
          <t>None</t>
        </is>
      </c>
      <c r="O68" s="2" t="inlineStr">
        <is>
          <t>Records: none.</t>
        </is>
      </c>
      <c r="P68" s="2" t="inlineStr">
        <is>
          <t>Step 6</t>
        </is>
      </c>
      <c r="Q68" s="2" t="inlineStr">
        <is>
          <t>Config action 47 (revision 19).</t>
        </is>
      </c>
      <c r="R6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68" s="3" t="inlineStr">
        <is>
          <t>VERIFIED (config)</t>
        </is>
      </c>
    </row>
    <row r="69">
      <c r="A69" s="2" t="inlineStr">
        <is>
          <t>Standalone Marketing | Monthly Performance Reviews | Marketing Services (UPDATED)</t>
        </is>
      </c>
      <c r="B69" s="2" t="inlineStr">
        <is>
          <t>1892197644</t>
        </is>
      </c>
      <c r="C69" s="2" t="inlineStr">
        <is>
          <t>Step 6</t>
        </is>
      </c>
      <c r="D69" s="2">
        <f> true &gt; = Sarah Schlosberg</f>
        <v/>
      </c>
      <c r="E69" s="2" t="n">
        <v>6</v>
      </c>
      <c r="F69" s="2" t="inlineStr">
        <is>
          <t>Delay</t>
        </is>
      </c>
      <c r="G69" s="2" t="inlineStr">
        <is>
          <t>Delay (actionTypeId 0-1)</t>
        </is>
      </c>
      <c r="H69" s="2" t="inlineStr">
        <is>
          <t>Waits 64800 minutes (= 45 days).</t>
        </is>
      </c>
      <c r="I69" s="2" t="inlineStr">
        <is>
          <t>-</t>
        </is>
      </c>
      <c r="J69" s="2" t="inlineStr">
        <is>
          <t>-</t>
        </is>
      </c>
      <c r="K69" s="2" t="inlineStr">
        <is>
          <t>-</t>
        </is>
      </c>
      <c r="L69" s="2" t="inlineStr">
        <is>
          <t>-</t>
        </is>
      </c>
      <c r="M69" s="2">
        <f> true &gt; = Sarah Schlosberg</f>
        <v/>
      </c>
      <c r="N69" s="2" t="inlineStr">
        <is>
          <t>This is a delay</t>
        </is>
      </c>
      <c r="O69" s="2" t="inlineStr"/>
      <c r="P69" s="2" t="inlineStr">
        <is>
          <t>End</t>
        </is>
      </c>
      <c r="Q69" s="2" t="inlineStr">
        <is>
          <t>Config action 48 (revision 19).</t>
        </is>
      </c>
      <c r="R69" s="2" t="inlineStr"/>
      <c r="S69" s="3" t="inlineStr">
        <is>
          <t>VERIFIED (config)</t>
        </is>
      </c>
    </row>
    <row r="70">
      <c r="A70" s="2" t="inlineStr">
        <is>
          <t>Standalone Marketing | Monthly Performance Reviews | Marketing Services (UPDATED)</t>
        </is>
      </c>
      <c r="B70" s="2" t="inlineStr">
        <is>
          <t>1892197644</t>
        </is>
      </c>
      <c r="C70" s="2" t="inlineStr">
        <is>
          <t>End</t>
        </is>
      </c>
      <c r="D70" s="2">
        <f> true &gt; = Sarah Schlosberg</f>
        <v/>
      </c>
      <c r="E70" s="2" t="inlineStr">
        <is>
          <t>-</t>
        </is>
      </c>
      <c r="F70" s="2" t="inlineStr">
        <is>
          <t>End</t>
        </is>
      </c>
      <c r="G70" s="2" t="inlineStr">
        <is>
          <t>End of workflow</t>
        </is>
      </c>
      <c r="H70" s="2" t="inlineStr">
        <is>
          <t>Workflow ends for this record.</t>
        </is>
      </c>
      <c r="I70" s="2" t="inlineStr">
        <is>
          <t>-</t>
        </is>
      </c>
      <c r="J70" s="2" t="inlineStr">
        <is>
          <t>-</t>
        </is>
      </c>
      <c r="K70" s="2" t="inlineStr">
        <is>
          <t>-</t>
        </is>
      </c>
      <c r="L70" s="2" t="inlineStr">
        <is>
          <t>-</t>
        </is>
      </c>
      <c r="M70" s="2">
        <f> true &gt; = Sarah Schlosberg</f>
        <v/>
      </c>
      <c r="N70" s="2" t="inlineStr">
        <is>
          <t>None</t>
        </is>
      </c>
      <c r="O70" s="2" t="inlineStr">
        <is>
          <t>Record leaves the workflow</t>
        </is>
      </c>
      <c r="P70" s="2" t="inlineStr">
        <is>
          <t>No in-scope workflow is triggered by this workflow.</t>
        </is>
      </c>
      <c r="Q70" s="2" t="inlineStr">
        <is>
          <t>Workflow config</t>
        </is>
      </c>
      <c r="R70" s="2" t="inlineStr"/>
      <c r="S70" s="3" t="inlineStr">
        <is>
          <t>VERIFIED (config)</t>
        </is>
      </c>
    </row>
    <row r="71">
      <c r="A71" s="2" t="inlineStr">
        <is>
          <t>Standalone Marketing | Monthly Performance Reviews | Marketing Services (UPDATED)</t>
        </is>
      </c>
      <c r="B71" s="2" t="inlineStr">
        <is>
          <t>1892197644</t>
        </is>
      </c>
      <c r="C71" s="2" t="inlineStr">
        <is>
          <t>Step 7</t>
        </is>
      </c>
      <c r="D71" s="2">
        <f> true &gt; = Mohammad Abudahab</f>
        <v/>
      </c>
      <c r="E71" s="2" t="n">
        <v>7</v>
      </c>
      <c r="F71" s="2" t="inlineStr">
        <is>
          <t>Create task</t>
        </is>
      </c>
      <c r="G71" s="2" t="inlineStr">
        <is>
          <t>Create task (actionTypeId 0-3)</t>
        </is>
      </c>
      <c r="H71" s="2" t="inlineStr">
        <is>
          <t>Creates task "Marketing Performance Review" for Mohammad Abudahab, due 45 business day(s) after creation at 08:00.</t>
        </is>
      </c>
      <c r="I71" s="2" t="inlineStr">
        <is>
          <t>Task</t>
        </is>
      </c>
      <c r="J71" s="2" t="inlineStr">
        <is>
          <t>New task "Marketing Performance Review"</t>
        </is>
      </c>
      <c r="K71" s="2" t="inlineStr">
        <is>
          <t>(new record)</t>
        </is>
      </c>
      <c r="L71"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71" s="2">
        <f> true &gt; = Mohammad Abudahab</f>
        <v/>
      </c>
      <c r="N71" s="2" t="inlineStr">
        <is>
          <t>None</t>
        </is>
      </c>
      <c r="O71" s="2" t="inlineStr">
        <is>
          <t>Records: none.</t>
        </is>
      </c>
      <c r="P71" s="2" t="inlineStr">
        <is>
          <t>Step 8</t>
        </is>
      </c>
      <c r="Q71" s="2" t="inlineStr">
        <is>
          <t>Config action 49 (revision 19).</t>
        </is>
      </c>
      <c r="R71"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71" s="3" t="inlineStr">
        <is>
          <t>VERIFIED (config)</t>
        </is>
      </c>
    </row>
    <row r="72">
      <c r="A72" s="2" t="inlineStr">
        <is>
          <t>Standalone Marketing | Monthly Performance Reviews | Marketing Services (UPDATED)</t>
        </is>
      </c>
      <c r="B72" s="2" t="inlineStr">
        <is>
          <t>1892197644</t>
        </is>
      </c>
      <c r="C72" s="2" t="inlineStr">
        <is>
          <t>Step 8</t>
        </is>
      </c>
      <c r="D72" s="2">
        <f> true &gt; = Mohammad Abudahab</f>
        <v/>
      </c>
      <c r="E72" s="2" t="n">
        <v>8</v>
      </c>
      <c r="F72" s="2" t="inlineStr">
        <is>
          <t>Delay</t>
        </is>
      </c>
      <c r="G72" s="2" t="inlineStr">
        <is>
          <t>Delay (actionTypeId 0-1)</t>
        </is>
      </c>
      <c r="H72" s="2" t="inlineStr">
        <is>
          <t>Waits 64800 minutes (= 45 days).</t>
        </is>
      </c>
      <c r="I72" s="2" t="inlineStr">
        <is>
          <t>-</t>
        </is>
      </c>
      <c r="J72" s="2" t="inlineStr">
        <is>
          <t>-</t>
        </is>
      </c>
      <c r="K72" s="2" t="inlineStr">
        <is>
          <t>-</t>
        </is>
      </c>
      <c r="L72" s="2" t="inlineStr">
        <is>
          <t>-</t>
        </is>
      </c>
      <c r="M72" s="2">
        <f> true &gt; = Mohammad Abudahab</f>
        <v/>
      </c>
      <c r="N72" s="2" t="inlineStr">
        <is>
          <t>This is a delay</t>
        </is>
      </c>
      <c r="O72" s="2" t="inlineStr"/>
      <c r="P72" s="2" t="inlineStr">
        <is>
          <t>End</t>
        </is>
      </c>
      <c r="Q72" s="2" t="inlineStr">
        <is>
          <t>Config action 50 (revision 19).</t>
        </is>
      </c>
      <c r="R72" s="2" t="inlineStr"/>
      <c r="S72" s="3" t="inlineStr">
        <is>
          <t>VERIFIED (config)</t>
        </is>
      </c>
    </row>
    <row r="73">
      <c r="A73" s="2" t="inlineStr">
        <is>
          <t>Standalone Marketing | Monthly Performance Reviews | Marketing Services (UPDATED)</t>
        </is>
      </c>
      <c r="B73" s="2" t="inlineStr">
        <is>
          <t>1892197644</t>
        </is>
      </c>
      <c r="C73" s="2" t="inlineStr">
        <is>
          <t>End</t>
        </is>
      </c>
      <c r="D73" s="2">
        <f> true &gt; = Mohammad Abudahab</f>
        <v/>
      </c>
      <c r="E73" s="2" t="inlineStr">
        <is>
          <t>-</t>
        </is>
      </c>
      <c r="F73" s="2" t="inlineStr">
        <is>
          <t>End</t>
        </is>
      </c>
      <c r="G73" s="2" t="inlineStr">
        <is>
          <t>End of workflow</t>
        </is>
      </c>
      <c r="H73" s="2" t="inlineStr">
        <is>
          <t>Workflow ends for this record.</t>
        </is>
      </c>
      <c r="I73" s="2" t="inlineStr">
        <is>
          <t>-</t>
        </is>
      </c>
      <c r="J73" s="2" t="inlineStr">
        <is>
          <t>-</t>
        </is>
      </c>
      <c r="K73" s="2" t="inlineStr">
        <is>
          <t>-</t>
        </is>
      </c>
      <c r="L73" s="2" t="inlineStr">
        <is>
          <t>-</t>
        </is>
      </c>
      <c r="M73" s="2">
        <f> true &gt; = Mohammad Abudahab</f>
        <v/>
      </c>
      <c r="N73" s="2" t="inlineStr">
        <is>
          <t>None</t>
        </is>
      </c>
      <c r="O73" s="2" t="inlineStr">
        <is>
          <t>Record leaves the workflow</t>
        </is>
      </c>
      <c r="P73" s="2" t="inlineStr">
        <is>
          <t>No in-scope workflow is triggered by this workflow.</t>
        </is>
      </c>
      <c r="Q73" s="2" t="inlineStr">
        <is>
          <t>Workflow config</t>
        </is>
      </c>
      <c r="R73" s="2" t="inlineStr"/>
      <c r="S73" s="3" t="inlineStr">
        <is>
          <t>VERIFIED (config)</t>
        </is>
      </c>
    </row>
    <row r="74">
      <c r="A74" s="2" t="inlineStr">
        <is>
          <t>Standalone Marketing | Monthly Performance Reviews | Marketing Services (UPDATED)</t>
        </is>
      </c>
      <c r="B74" s="2" t="inlineStr">
        <is>
          <t>1892197644</t>
        </is>
      </c>
      <c r="C74" s="2" t="inlineStr">
        <is>
          <t>Step 9</t>
        </is>
      </c>
      <c r="D74" s="2">
        <f> true &gt; = Not Assigned</f>
        <v/>
      </c>
      <c r="E74" s="2" t="n">
        <v>9</v>
      </c>
      <c r="F74" s="2" t="inlineStr">
        <is>
          <t>Create task</t>
        </is>
      </c>
      <c r="G74" s="2" t="inlineStr">
        <is>
          <t>Create task (actionTypeId 0-3)</t>
        </is>
      </c>
      <c r="H74" s="2" t="inlineStr">
        <is>
          <t>Creates task "Marketing Performance Review" for No owner set, due 45 business day(s) after creation at 08:00.</t>
        </is>
      </c>
      <c r="I74" s="2" t="inlineStr">
        <is>
          <t>Task</t>
        </is>
      </c>
      <c r="J74" s="2" t="inlineStr">
        <is>
          <t>New task "Marketing Performance Review"</t>
        </is>
      </c>
      <c r="K74" s="2" t="inlineStr">
        <is>
          <t>(new record)</t>
        </is>
      </c>
      <c r="L74"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74" s="2">
        <f> true &gt; = Not Assigned</f>
        <v/>
      </c>
      <c r="N74" s="2" t="inlineStr">
        <is>
          <t>None</t>
        </is>
      </c>
      <c r="O74" s="2" t="inlineStr">
        <is>
          <t>Records: none.</t>
        </is>
      </c>
      <c r="P74" s="2" t="inlineStr">
        <is>
          <t>Step 10</t>
        </is>
      </c>
      <c r="Q74" s="2" t="inlineStr">
        <is>
          <t>Config action 51 (revision 19).</t>
        </is>
      </c>
      <c r="R74"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74" s="3" t="inlineStr">
        <is>
          <t>VERIFIED (config)</t>
        </is>
      </c>
    </row>
    <row r="75">
      <c r="A75" s="2" t="inlineStr">
        <is>
          <t>Standalone Marketing | Monthly Performance Reviews | Marketing Services (UPDATED)</t>
        </is>
      </c>
      <c r="B75" s="2" t="inlineStr">
        <is>
          <t>1892197644</t>
        </is>
      </c>
      <c r="C75" s="2" t="inlineStr">
        <is>
          <t>Step 10</t>
        </is>
      </c>
      <c r="D75" s="2">
        <f> true &gt; = Not Assigned</f>
        <v/>
      </c>
      <c r="E75" s="2" t="n">
        <v>10</v>
      </c>
      <c r="F75" s="2" t="inlineStr">
        <is>
          <t>Delay</t>
        </is>
      </c>
      <c r="G75" s="2" t="inlineStr">
        <is>
          <t>Delay (actionTypeId 0-1)</t>
        </is>
      </c>
      <c r="H75" s="2" t="inlineStr">
        <is>
          <t>Waits 64800 minutes (= 45 days).</t>
        </is>
      </c>
      <c r="I75" s="2" t="inlineStr">
        <is>
          <t>-</t>
        </is>
      </c>
      <c r="J75" s="2" t="inlineStr">
        <is>
          <t>-</t>
        </is>
      </c>
      <c r="K75" s="2" t="inlineStr">
        <is>
          <t>-</t>
        </is>
      </c>
      <c r="L75" s="2" t="inlineStr">
        <is>
          <t>-</t>
        </is>
      </c>
      <c r="M75" s="2">
        <f> true &gt; = Not Assigned</f>
        <v/>
      </c>
      <c r="N75" s="2" t="inlineStr">
        <is>
          <t>This is a delay</t>
        </is>
      </c>
      <c r="O75" s="2" t="inlineStr"/>
      <c r="P75" s="2" t="inlineStr">
        <is>
          <t>End</t>
        </is>
      </c>
      <c r="Q75" s="2" t="inlineStr">
        <is>
          <t>Config action 52 (revision 19).</t>
        </is>
      </c>
      <c r="R75" s="2" t="inlineStr"/>
      <c r="S75" s="3" t="inlineStr">
        <is>
          <t>VERIFIED (config)</t>
        </is>
      </c>
    </row>
    <row r="76">
      <c r="A76" s="2" t="inlineStr">
        <is>
          <t>Standalone Marketing | Monthly Performance Reviews | Marketing Services (UPDATED)</t>
        </is>
      </c>
      <c r="B76" s="2" t="inlineStr">
        <is>
          <t>1892197644</t>
        </is>
      </c>
      <c r="C76" s="2" t="inlineStr">
        <is>
          <t>End</t>
        </is>
      </c>
      <c r="D76" s="2">
        <f> true &gt; = Not Assigned</f>
        <v/>
      </c>
      <c r="E76" s="2" t="inlineStr">
        <is>
          <t>-</t>
        </is>
      </c>
      <c r="F76" s="2" t="inlineStr">
        <is>
          <t>End</t>
        </is>
      </c>
      <c r="G76" s="2" t="inlineStr">
        <is>
          <t>End of workflow</t>
        </is>
      </c>
      <c r="H76" s="2" t="inlineStr">
        <is>
          <t>Workflow ends for this record.</t>
        </is>
      </c>
      <c r="I76" s="2" t="inlineStr">
        <is>
          <t>-</t>
        </is>
      </c>
      <c r="J76" s="2" t="inlineStr">
        <is>
          <t>-</t>
        </is>
      </c>
      <c r="K76" s="2" t="inlineStr">
        <is>
          <t>-</t>
        </is>
      </c>
      <c r="L76" s="2" t="inlineStr">
        <is>
          <t>-</t>
        </is>
      </c>
      <c r="M76" s="2">
        <f> true &gt; = Not Assigned</f>
        <v/>
      </c>
      <c r="N76" s="2" t="inlineStr">
        <is>
          <t>None</t>
        </is>
      </c>
      <c r="O76" s="2" t="inlineStr">
        <is>
          <t>Record leaves the workflow</t>
        </is>
      </c>
      <c r="P76" s="2" t="inlineStr">
        <is>
          <t>No in-scope workflow is triggered by this workflow.</t>
        </is>
      </c>
      <c r="Q76" s="2" t="inlineStr">
        <is>
          <t>Workflow config</t>
        </is>
      </c>
      <c r="R76" s="2" t="inlineStr"/>
      <c r="S76" s="3" t="inlineStr">
        <is>
          <t>VERIFIED (config)</t>
        </is>
      </c>
    </row>
    <row r="77">
      <c r="A77" s="2" t="inlineStr">
        <is>
          <t>Standalone Marketing | Monthly Performance Reviews | Marketing Services (UPDATED)</t>
        </is>
      </c>
      <c r="B77" s="2" t="inlineStr">
        <is>
          <t>1892197644</t>
        </is>
      </c>
      <c r="C77" s="2" t="inlineStr">
        <is>
          <t>Go to</t>
        </is>
      </c>
      <c r="D77" s="2">
        <f> true &gt; any other value</f>
        <v/>
      </c>
      <c r="E77" s="2" t="inlineStr">
        <is>
          <t>-</t>
        </is>
      </c>
      <c r="F77" s="2" t="inlineStr">
        <is>
          <t>Go to action</t>
        </is>
      </c>
      <c r="G77" s="2" t="inlineStr">
        <is>
          <t>Branch rejoins</t>
        </is>
      </c>
      <c r="H77" s="2" t="inlineStr">
        <is>
          <t>Continues at step 9.</t>
        </is>
      </c>
      <c r="I77" s="2" t="inlineStr">
        <is>
          <t>-</t>
        </is>
      </c>
      <c r="J77" s="2" t="inlineStr">
        <is>
          <t>-</t>
        </is>
      </c>
      <c r="K77" s="2" t="inlineStr">
        <is>
          <t>-</t>
        </is>
      </c>
      <c r="L77" s="2" t="inlineStr">
        <is>
          <t>-</t>
        </is>
      </c>
      <c r="M77" s="2">
        <f> true &gt; any other value</f>
        <v/>
      </c>
      <c r="N77" s="2" t="inlineStr">
        <is>
          <t>None</t>
        </is>
      </c>
      <c r="O77" s="2" t="inlineStr">
        <is>
          <t>-</t>
        </is>
      </c>
      <c r="P77" s="2" t="inlineStr">
        <is>
          <t>Step 9</t>
        </is>
      </c>
      <c r="Q77" s="2" t="inlineStr">
        <is>
          <t>Workflow config</t>
        </is>
      </c>
      <c r="R77" s="2" t="inlineStr"/>
      <c r="S77" s="3" t="inlineStr">
        <is>
          <t>VERIFIED (config)</t>
        </is>
      </c>
    </row>
    <row r="78">
      <c r="A78" s="2" t="inlineStr">
        <is>
          <t>Standalone Marketing | Monthly Performance Reviews | Marketing Services (UPDATED)</t>
        </is>
      </c>
      <c r="B78" s="2" t="inlineStr">
        <is>
          <t>1892197644</t>
        </is>
      </c>
      <c r="C78" s="2" t="inlineStr">
        <is>
          <t>Step 11</t>
        </is>
      </c>
      <c r="D78" s="2">
        <f> false</f>
        <v/>
      </c>
      <c r="E78" s="2" t="n">
        <v>11</v>
      </c>
      <c r="F78" s="2" t="inlineStr">
        <is>
          <t>Branch on one property value</t>
        </is>
      </c>
      <c r="G78" s="2" t="inlineStr">
        <is>
          <t>Branch on one property value (actionTypeId STATIC_BRANCH)</t>
        </is>
      </c>
      <c r="H78" s="2" t="inlineStr">
        <is>
          <t>Branches on Portfolio Mgr: Brock Hegr; Sarah Schlosberg; Mohammad Abudahab; Not Assigned; anything else -&gt; ends.</t>
        </is>
      </c>
      <c r="I78" s="2" t="inlineStr">
        <is>
          <t>-</t>
        </is>
      </c>
      <c r="J78" s="2" t="inlineStr">
        <is>
          <t>Portfolio Mgr</t>
        </is>
      </c>
      <c r="K78" s="2" t="inlineStr">
        <is>
          <t>-</t>
        </is>
      </c>
      <c r="L78" s="2" t="inlineStr">
        <is>
          <t>-</t>
        </is>
      </c>
      <c r="M78" s="2">
        <f> false</f>
        <v/>
      </c>
      <c r="N78" s="2" t="inlineStr">
        <is>
          <t>None</t>
        </is>
      </c>
      <c r="O78" s="2" t="inlineStr"/>
      <c r="P78" s="2" t="inlineStr">
        <is>
          <t>First action of each branch (see following rows)</t>
        </is>
      </c>
      <c r="Q78" s="2" t="inlineStr">
        <is>
          <t>Config action 16 (revision 19).</t>
        </is>
      </c>
      <c r="R78" s="2" t="inlineStr"/>
      <c r="S78" s="3" t="inlineStr">
        <is>
          <t>VERIFIED (config)</t>
        </is>
      </c>
    </row>
    <row r="79">
      <c r="A79" s="2" t="inlineStr">
        <is>
          <t>Standalone Marketing | Monthly Performance Reviews | Marketing Services (UPDATED)</t>
        </is>
      </c>
      <c r="B79" s="2" t="inlineStr">
        <is>
          <t>1892197644</t>
        </is>
      </c>
      <c r="C79" s="2" t="inlineStr">
        <is>
          <t>Step 12</t>
        </is>
      </c>
      <c r="D79" s="2">
        <f> false &gt; = Brock Hegr</f>
        <v/>
      </c>
      <c r="E79" s="2" t="n">
        <v>12</v>
      </c>
      <c r="F79" s="2" t="inlineStr">
        <is>
          <t>Create task</t>
        </is>
      </c>
      <c r="G79" s="2" t="inlineStr">
        <is>
          <t>Create task (actionTypeId 0-3)</t>
        </is>
      </c>
      <c r="H79" s="2" t="inlineStr">
        <is>
          <t>Creates task "Marketing Performance Review" for Brock Hegr, due 45 business day(s) after creation at 08:00.</t>
        </is>
      </c>
      <c r="I79" s="2" t="inlineStr">
        <is>
          <t>Task</t>
        </is>
      </c>
      <c r="J79" s="2" t="inlineStr">
        <is>
          <t>New task "Marketing Performance Review"</t>
        </is>
      </c>
      <c r="K79" s="2" t="inlineStr">
        <is>
          <t>(new record)</t>
        </is>
      </c>
      <c r="L79" s="2" t="inlineStr">
        <is>
          <t>Title: Marketing Performance Review | Type: TODO | Priority: NONE | Owner: Brock Hegr (fixed user) | Due: 45 business day(s) after creation at 08:00 (US/Eastern) | Associations: Company: the enrolled record; Ticket: copied from enrolled record's associations (Company -&gt; Ticket, label "Marketing") | Queue: 13519272</t>
        </is>
      </c>
      <c r="M79" s="2">
        <f> false &gt; = Brock Hegr</f>
        <v/>
      </c>
      <c r="N79" s="2" t="inlineStr">
        <is>
          <t>None</t>
        </is>
      </c>
      <c r="O79" s="2" t="inlineStr">
        <is>
          <t>Records: none.</t>
        </is>
      </c>
      <c r="P79" s="2" t="inlineStr">
        <is>
          <t>Step 13</t>
        </is>
      </c>
      <c r="Q79" s="2" t="inlineStr">
        <is>
          <t>Config action 53 (revision 19).</t>
        </is>
      </c>
      <c r="R79"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79" s="3" t="inlineStr">
        <is>
          <t>VERIFIED (config)</t>
        </is>
      </c>
    </row>
    <row r="80">
      <c r="A80" s="2" t="inlineStr">
        <is>
          <t>Standalone Marketing | Monthly Performance Reviews | Marketing Services (UPDATED)</t>
        </is>
      </c>
      <c r="B80" s="2" t="inlineStr">
        <is>
          <t>1892197644</t>
        </is>
      </c>
      <c r="C80" s="2" t="inlineStr">
        <is>
          <t>Step 13</t>
        </is>
      </c>
      <c r="D80" s="2">
        <f> false &gt; = Brock Hegr</f>
        <v/>
      </c>
      <c r="E80" s="2" t="n">
        <v>13</v>
      </c>
      <c r="F80" s="2" t="inlineStr">
        <is>
          <t>Delay</t>
        </is>
      </c>
      <c r="G80" s="2" t="inlineStr">
        <is>
          <t>Delay (actionTypeId 0-1)</t>
        </is>
      </c>
      <c r="H80" s="2" t="inlineStr">
        <is>
          <t>Waits 64800 minutes (= 45 days).</t>
        </is>
      </c>
      <c r="I80" s="2" t="inlineStr">
        <is>
          <t>-</t>
        </is>
      </c>
      <c r="J80" s="2" t="inlineStr">
        <is>
          <t>-</t>
        </is>
      </c>
      <c r="K80" s="2" t="inlineStr">
        <is>
          <t>-</t>
        </is>
      </c>
      <c r="L80" s="2" t="inlineStr">
        <is>
          <t>-</t>
        </is>
      </c>
      <c r="M80" s="2">
        <f> false &gt; = Brock Hegr</f>
        <v/>
      </c>
      <c r="N80" s="2" t="inlineStr">
        <is>
          <t>This is a delay</t>
        </is>
      </c>
      <c r="O80" s="2" t="inlineStr"/>
      <c r="P80" s="2" t="inlineStr">
        <is>
          <t>End</t>
        </is>
      </c>
      <c r="Q80" s="2" t="inlineStr">
        <is>
          <t>Config action 54 (revision 19).</t>
        </is>
      </c>
      <c r="R80" s="2" t="inlineStr"/>
      <c r="S80" s="3" t="inlineStr">
        <is>
          <t>VERIFIED (config)</t>
        </is>
      </c>
    </row>
    <row r="81">
      <c r="A81" s="2" t="inlineStr">
        <is>
          <t>Standalone Marketing | Monthly Performance Reviews | Marketing Services (UPDATED)</t>
        </is>
      </c>
      <c r="B81" s="2" t="inlineStr">
        <is>
          <t>1892197644</t>
        </is>
      </c>
      <c r="C81" s="2" t="inlineStr">
        <is>
          <t>End</t>
        </is>
      </c>
      <c r="D81" s="2">
        <f> false &gt; = Brock Hegr</f>
        <v/>
      </c>
      <c r="E81" s="2" t="inlineStr">
        <is>
          <t>-</t>
        </is>
      </c>
      <c r="F81" s="2" t="inlineStr">
        <is>
          <t>End</t>
        </is>
      </c>
      <c r="G81" s="2" t="inlineStr">
        <is>
          <t>End of workflow</t>
        </is>
      </c>
      <c r="H81" s="2" t="inlineStr">
        <is>
          <t>Workflow ends for this record.</t>
        </is>
      </c>
      <c r="I81" s="2" t="inlineStr">
        <is>
          <t>-</t>
        </is>
      </c>
      <c r="J81" s="2" t="inlineStr">
        <is>
          <t>-</t>
        </is>
      </c>
      <c r="K81" s="2" t="inlineStr">
        <is>
          <t>-</t>
        </is>
      </c>
      <c r="L81" s="2" t="inlineStr">
        <is>
          <t>-</t>
        </is>
      </c>
      <c r="M81" s="2">
        <f> false &gt; = Brock Hegr</f>
        <v/>
      </c>
      <c r="N81" s="2" t="inlineStr">
        <is>
          <t>None</t>
        </is>
      </c>
      <c r="O81" s="2" t="inlineStr">
        <is>
          <t>Record leaves the workflow</t>
        </is>
      </c>
      <c r="P81" s="2" t="inlineStr">
        <is>
          <t>No in-scope workflow is triggered by this workflow.</t>
        </is>
      </c>
      <c r="Q81" s="2" t="inlineStr">
        <is>
          <t>Workflow config</t>
        </is>
      </c>
      <c r="R81" s="2" t="inlineStr"/>
      <c r="S81" s="3" t="inlineStr">
        <is>
          <t>VERIFIED (config)</t>
        </is>
      </c>
    </row>
    <row r="82">
      <c r="A82" s="2" t="inlineStr">
        <is>
          <t>Standalone Marketing | Monthly Performance Reviews | Marketing Services (UPDATED)</t>
        </is>
      </c>
      <c r="B82" s="2" t="inlineStr">
        <is>
          <t>1892197644</t>
        </is>
      </c>
      <c r="C82" s="2" t="inlineStr">
        <is>
          <t>Step 14</t>
        </is>
      </c>
      <c r="D82" s="2">
        <f> false &gt; = Sarah Schlosberg</f>
        <v/>
      </c>
      <c r="E82" s="2" t="n">
        <v>14</v>
      </c>
      <c r="F82" s="2" t="inlineStr">
        <is>
          <t>Create task</t>
        </is>
      </c>
      <c r="G82" s="2" t="inlineStr">
        <is>
          <t>Create task (actionTypeId 0-3)</t>
        </is>
      </c>
      <c r="H82" s="2" t="inlineStr">
        <is>
          <t>Creates task "Marketing Performance Review" for Sarah Schlosberg, due 45 business day(s) after creation at 08:00.</t>
        </is>
      </c>
      <c r="I82" s="2" t="inlineStr">
        <is>
          <t>Task</t>
        </is>
      </c>
      <c r="J82" s="2" t="inlineStr">
        <is>
          <t>New task "Marketing Performance Review"</t>
        </is>
      </c>
      <c r="K82" s="2" t="inlineStr">
        <is>
          <t>(new record)</t>
        </is>
      </c>
      <c r="L82" s="2" t="inlineStr">
        <is>
          <t>Title: Marketing Performance Review | Type: TODO | Priority: NONE | Owner: Sarah Schlosberg (fixed user) | Due: 45 business day(s) after creation at 08:00 (US/Eastern) | Associations: Company: the enrolled record; Ticket: copied from enrolled record's associations (Company -&gt; Ticket, label "Marketing") | Queue: 13519272</t>
        </is>
      </c>
      <c r="M82" s="2">
        <f> false &gt; = Sarah Schlosberg</f>
        <v/>
      </c>
      <c r="N82" s="2" t="inlineStr">
        <is>
          <t>None</t>
        </is>
      </c>
      <c r="O82" s="2" t="inlineStr">
        <is>
          <t>Records: none.</t>
        </is>
      </c>
      <c r="P82" s="2" t="inlineStr">
        <is>
          <t>Step 15</t>
        </is>
      </c>
      <c r="Q82" s="2" t="inlineStr">
        <is>
          <t>Config action 55 (revision 19).</t>
        </is>
      </c>
      <c r="R82"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82" s="3" t="inlineStr">
        <is>
          <t>VERIFIED (config)</t>
        </is>
      </c>
    </row>
    <row r="83">
      <c r="A83" s="2" t="inlineStr">
        <is>
          <t>Standalone Marketing | Monthly Performance Reviews | Marketing Services (UPDATED)</t>
        </is>
      </c>
      <c r="B83" s="2" t="inlineStr">
        <is>
          <t>1892197644</t>
        </is>
      </c>
      <c r="C83" s="2" t="inlineStr">
        <is>
          <t>Step 15</t>
        </is>
      </c>
      <c r="D83" s="2">
        <f> false &gt; = Sarah Schlosberg</f>
        <v/>
      </c>
      <c r="E83" s="2" t="n">
        <v>15</v>
      </c>
      <c r="F83" s="2" t="inlineStr">
        <is>
          <t>Delay</t>
        </is>
      </c>
      <c r="G83" s="2" t="inlineStr">
        <is>
          <t>Delay (actionTypeId 0-1)</t>
        </is>
      </c>
      <c r="H83" s="2" t="inlineStr">
        <is>
          <t>Waits 64800 minutes (= 45 days).</t>
        </is>
      </c>
      <c r="I83" s="2" t="inlineStr">
        <is>
          <t>-</t>
        </is>
      </c>
      <c r="J83" s="2" t="inlineStr">
        <is>
          <t>-</t>
        </is>
      </c>
      <c r="K83" s="2" t="inlineStr">
        <is>
          <t>-</t>
        </is>
      </c>
      <c r="L83" s="2" t="inlineStr">
        <is>
          <t>-</t>
        </is>
      </c>
      <c r="M83" s="2">
        <f> false &gt; = Sarah Schlosberg</f>
        <v/>
      </c>
      <c r="N83" s="2" t="inlineStr">
        <is>
          <t>This is a delay</t>
        </is>
      </c>
      <c r="O83" s="2" t="inlineStr"/>
      <c r="P83" s="2" t="inlineStr">
        <is>
          <t>End</t>
        </is>
      </c>
      <c r="Q83" s="2" t="inlineStr">
        <is>
          <t>Config action 56 (revision 19).</t>
        </is>
      </c>
      <c r="R83" s="2" t="inlineStr"/>
      <c r="S83" s="3" t="inlineStr">
        <is>
          <t>VERIFIED (config)</t>
        </is>
      </c>
    </row>
    <row r="84">
      <c r="A84" s="2" t="inlineStr">
        <is>
          <t>Standalone Marketing | Monthly Performance Reviews | Marketing Services (UPDATED)</t>
        </is>
      </c>
      <c r="B84" s="2" t="inlineStr">
        <is>
          <t>1892197644</t>
        </is>
      </c>
      <c r="C84" s="2" t="inlineStr">
        <is>
          <t>End</t>
        </is>
      </c>
      <c r="D84" s="2">
        <f> false &gt; = Sarah Schlosberg</f>
        <v/>
      </c>
      <c r="E84" s="2" t="inlineStr">
        <is>
          <t>-</t>
        </is>
      </c>
      <c r="F84" s="2" t="inlineStr">
        <is>
          <t>End</t>
        </is>
      </c>
      <c r="G84" s="2" t="inlineStr">
        <is>
          <t>End of workflow</t>
        </is>
      </c>
      <c r="H84" s="2" t="inlineStr">
        <is>
          <t>Workflow ends for this record.</t>
        </is>
      </c>
      <c r="I84" s="2" t="inlineStr">
        <is>
          <t>-</t>
        </is>
      </c>
      <c r="J84" s="2" t="inlineStr">
        <is>
          <t>-</t>
        </is>
      </c>
      <c r="K84" s="2" t="inlineStr">
        <is>
          <t>-</t>
        </is>
      </c>
      <c r="L84" s="2" t="inlineStr">
        <is>
          <t>-</t>
        </is>
      </c>
      <c r="M84" s="2">
        <f> false &gt; = Sarah Schlosberg</f>
        <v/>
      </c>
      <c r="N84" s="2" t="inlineStr">
        <is>
          <t>None</t>
        </is>
      </c>
      <c r="O84" s="2" t="inlineStr">
        <is>
          <t>Record leaves the workflow</t>
        </is>
      </c>
      <c r="P84" s="2" t="inlineStr">
        <is>
          <t>No in-scope workflow is triggered by this workflow.</t>
        </is>
      </c>
      <c r="Q84" s="2" t="inlineStr">
        <is>
          <t>Workflow config</t>
        </is>
      </c>
      <c r="R84" s="2" t="inlineStr"/>
      <c r="S84" s="3" t="inlineStr">
        <is>
          <t>VERIFIED (config)</t>
        </is>
      </c>
    </row>
    <row r="85">
      <c r="A85" s="2" t="inlineStr">
        <is>
          <t>Standalone Marketing | Monthly Performance Reviews | Marketing Services (UPDATED)</t>
        </is>
      </c>
      <c r="B85" s="2" t="inlineStr">
        <is>
          <t>1892197644</t>
        </is>
      </c>
      <c r="C85" s="2" t="inlineStr">
        <is>
          <t>Step 16</t>
        </is>
      </c>
      <c r="D85" s="2">
        <f> false &gt; = Mohammad Abudahab</f>
        <v/>
      </c>
      <c r="E85" s="2" t="n">
        <v>16</v>
      </c>
      <c r="F85" s="2" t="inlineStr">
        <is>
          <t>Create task</t>
        </is>
      </c>
      <c r="G85" s="2" t="inlineStr">
        <is>
          <t>Create task (actionTypeId 0-3)</t>
        </is>
      </c>
      <c r="H85" s="2" t="inlineStr">
        <is>
          <t>Creates task "Marketing Performance Review" for Mohammad Abudahab, due 45 business day(s) after creation at 08:00.</t>
        </is>
      </c>
      <c r="I85" s="2" t="inlineStr">
        <is>
          <t>Task</t>
        </is>
      </c>
      <c r="J85" s="2" t="inlineStr">
        <is>
          <t>New task "Marketing Performance Review"</t>
        </is>
      </c>
      <c r="K85" s="2" t="inlineStr">
        <is>
          <t>(new record)</t>
        </is>
      </c>
      <c r="L85" s="2" t="inlineStr">
        <is>
          <t>Title: Marketing Performance Review | Type: TODO | Priority: NONE | Owner: Mohammad Abudahab (fixed user) | Due: 45 business day(s) after creation at 08:00 (US/Eastern) | Associations: Company: the enrolled record; Ticket: copied from enrolled record's associations (Company -&gt; Ticket, label "Marketing") | Queue: 13519272</t>
        </is>
      </c>
      <c r="M85" s="2">
        <f> false &gt; = Mohammad Abudahab</f>
        <v/>
      </c>
      <c r="N85" s="2" t="inlineStr">
        <is>
          <t>None</t>
        </is>
      </c>
      <c r="O85" s="2" t="inlineStr">
        <is>
          <t>Records: none.</t>
        </is>
      </c>
      <c r="P85" s="2" t="inlineStr">
        <is>
          <t>Step 17</t>
        </is>
      </c>
      <c r="Q85" s="2" t="inlineStr">
        <is>
          <t>Config action 57 (revision 19).</t>
        </is>
      </c>
      <c r="R85"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85" s="3" t="inlineStr">
        <is>
          <t>VERIFIED (config)</t>
        </is>
      </c>
    </row>
    <row r="86">
      <c r="A86" s="2" t="inlineStr">
        <is>
          <t>Standalone Marketing | Monthly Performance Reviews | Marketing Services (UPDATED)</t>
        </is>
      </c>
      <c r="B86" s="2" t="inlineStr">
        <is>
          <t>1892197644</t>
        </is>
      </c>
      <c r="C86" s="2" t="inlineStr">
        <is>
          <t>Step 17</t>
        </is>
      </c>
      <c r="D86" s="2">
        <f> false &gt; = Mohammad Abudahab</f>
        <v/>
      </c>
      <c r="E86" s="2" t="n">
        <v>17</v>
      </c>
      <c r="F86" s="2" t="inlineStr">
        <is>
          <t>Delay</t>
        </is>
      </c>
      <c r="G86" s="2" t="inlineStr">
        <is>
          <t>Delay (actionTypeId 0-1)</t>
        </is>
      </c>
      <c r="H86" s="2" t="inlineStr">
        <is>
          <t>Waits 64800 minutes (= 45 days).</t>
        </is>
      </c>
      <c r="I86" s="2" t="inlineStr">
        <is>
          <t>-</t>
        </is>
      </c>
      <c r="J86" s="2" t="inlineStr">
        <is>
          <t>-</t>
        </is>
      </c>
      <c r="K86" s="2" t="inlineStr">
        <is>
          <t>-</t>
        </is>
      </c>
      <c r="L86" s="2" t="inlineStr">
        <is>
          <t>-</t>
        </is>
      </c>
      <c r="M86" s="2">
        <f> false &gt; = Mohammad Abudahab</f>
        <v/>
      </c>
      <c r="N86" s="2" t="inlineStr">
        <is>
          <t>This is a delay</t>
        </is>
      </c>
      <c r="O86" s="2" t="inlineStr"/>
      <c r="P86" s="2" t="inlineStr">
        <is>
          <t>End</t>
        </is>
      </c>
      <c r="Q86" s="2" t="inlineStr">
        <is>
          <t>Config action 58 (revision 19).</t>
        </is>
      </c>
      <c r="R86" s="2" t="inlineStr"/>
      <c r="S86" s="3" t="inlineStr">
        <is>
          <t>VERIFIED (config)</t>
        </is>
      </c>
    </row>
    <row r="87">
      <c r="A87" s="2" t="inlineStr">
        <is>
          <t>Standalone Marketing | Monthly Performance Reviews | Marketing Services (UPDATED)</t>
        </is>
      </c>
      <c r="B87" s="2" t="inlineStr">
        <is>
          <t>1892197644</t>
        </is>
      </c>
      <c r="C87" s="2" t="inlineStr">
        <is>
          <t>End</t>
        </is>
      </c>
      <c r="D87" s="2">
        <f> false &gt; = Mohammad Abudahab</f>
        <v/>
      </c>
      <c r="E87" s="2" t="inlineStr">
        <is>
          <t>-</t>
        </is>
      </c>
      <c r="F87" s="2" t="inlineStr">
        <is>
          <t>End</t>
        </is>
      </c>
      <c r="G87" s="2" t="inlineStr">
        <is>
          <t>End of workflow</t>
        </is>
      </c>
      <c r="H87" s="2" t="inlineStr">
        <is>
          <t>Workflow ends for this record.</t>
        </is>
      </c>
      <c r="I87" s="2" t="inlineStr">
        <is>
          <t>-</t>
        </is>
      </c>
      <c r="J87" s="2" t="inlineStr">
        <is>
          <t>-</t>
        </is>
      </c>
      <c r="K87" s="2" t="inlineStr">
        <is>
          <t>-</t>
        </is>
      </c>
      <c r="L87" s="2" t="inlineStr">
        <is>
          <t>-</t>
        </is>
      </c>
      <c r="M87" s="2">
        <f> false &gt; = Mohammad Abudahab</f>
        <v/>
      </c>
      <c r="N87" s="2" t="inlineStr">
        <is>
          <t>None</t>
        </is>
      </c>
      <c r="O87" s="2" t="inlineStr">
        <is>
          <t>Record leaves the workflow</t>
        </is>
      </c>
      <c r="P87" s="2" t="inlineStr">
        <is>
          <t>No in-scope workflow is triggered by this workflow.</t>
        </is>
      </c>
      <c r="Q87" s="2" t="inlineStr">
        <is>
          <t>Workflow config</t>
        </is>
      </c>
      <c r="R87" s="2" t="inlineStr"/>
      <c r="S87" s="3" t="inlineStr">
        <is>
          <t>VERIFIED (config)</t>
        </is>
      </c>
    </row>
    <row r="88">
      <c r="A88" s="2" t="inlineStr">
        <is>
          <t>Standalone Marketing | Monthly Performance Reviews | Marketing Services (UPDATED)</t>
        </is>
      </c>
      <c r="B88" s="2" t="inlineStr">
        <is>
          <t>1892197644</t>
        </is>
      </c>
      <c r="C88" s="2" t="inlineStr">
        <is>
          <t>Step 18</t>
        </is>
      </c>
      <c r="D88" s="2">
        <f> false &gt; = Not Assigned</f>
        <v/>
      </c>
      <c r="E88" s="2" t="n">
        <v>18</v>
      </c>
      <c r="F88" s="2" t="inlineStr">
        <is>
          <t>Create task</t>
        </is>
      </c>
      <c r="G88" s="2" t="inlineStr">
        <is>
          <t>Create task (actionTypeId 0-3)</t>
        </is>
      </c>
      <c r="H88" s="2" t="inlineStr">
        <is>
          <t>Creates task "Marketing Performance Review" for No owner set, due 45 business day(s) after creation at 08:00.</t>
        </is>
      </c>
      <c r="I88" s="2" t="inlineStr">
        <is>
          <t>Task</t>
        </is>
      </c>
      <c r="J88" s="2" t="inlineStr">
        <is>
          <t>New task "Marketing Performance Review"</t>
        </is>
      </c>
      <c r="K88" s="2" t="inlineStr">
        <is>
          <t>(new record)</t>
        </is>
      </c>
      <c r="L88" s="2" t="inlineStr">
        <is>
          <t>Title: Marketing Performance Review | Type: TODO | Priority: NONE | Owner: No owner set | Due: 45 business day(s) after creation at 08:00 (US/Eastern) | Associations: Company: the enrolled record; Ticket: copied from enrolled record's associations (Company -&gt; Ticket, label "Marketing") | Queue: 13519272</t>
        </is>
      </c>
      <c r="M88" s="2">
        <f> false &gt; = Not Assigned</f>
        <v/>
      </c>
      <c r="N88" s="2" t="inlineStr">
        <is>
          <t>None</t>
        </is>
      </c>
      <c r="O88" s="2" t="inlineStr">
        <is>
          <t>Records: none.</t>
        </is>
      </c>
      <c r="P88" s="2" t="inlineStr">
        <is>
          <t>Step 19</t>
        </is>
      </c>
      <c r="Q88" s="2" t="inlineStr">
        <is>
          <t>Config action 59 (revision 19).</t>
        </is>
      </c>
      <c r="R88" s="2" t="inlineStr">
        <is>
          <t>Notes: 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S88" s="3" t="inlineStr">
        <is>
          <t>VERIFIED (config)</t>
        </is>
      </c>
    </row>
    <row r="89">
      <c r="A89" s="2" t="inlineStr">
        <is>
          <t>Standalone Marketing | Monthly Performance Reviews | Marketing Services (UPDATED)</t>
        </is>
      </c>
      <c r="B89" s="2" t="inlineStr">
        <is>
          <t>1892197644</t>
        </is>
      </c>
      <c r="C89" s="2" t="inlineStr">
        <is>
          <t>Step 19</t>
        </is>
      </c>
      <c r="D89" s="2">
        <f> false &gt; = Not Assigned</f>
        <v/>
      </c>
      <c r="E89" s="2" t="n">
        <v>19</v>
      </c>
      <c r="F89" s="2" t="inlineStr">
        <is>
          <t>Delay</t>
        </is>
      </c>
      <c r="G89" s="2" t="inlineStr">
        <is>
          <t>Delay (actionTypeId 0-1)</t>
        </is>
      </c>
      <c r="H89" s="2" t="inlineStr">
        <is>
          <t>Waits 64800 minutes (= 45 days).</t>
        </is>
      </c>
      <c r="I89" s="2" t="inlineStr">
        <is>
          <t>-</t>
        </is>
      </c>
      <c r="J89" s="2" t="inlineStr">
        <is>
          <t>-</t>
        </is>
      </c>
      <c r="K89" s="2" t="inlineStr">
        <is>
          <t>-</t>
        </is>
      </c>
      <c r="L89" s="2" t="inlineStr">
        <is>
          <t>-</t>
        </is>
      </c>
      <c r="M89" s="2">
        <f> false &gt; = Not Assigned</f>
        <v/>
      </c>
      <c r="N89" s="2" t="inlineStr">
        <is>
          <t>This is a delay</t>
        </is>
      </c>
      <c r="O89" s="2" t="inlineStr"/>
      <c r="P89" s="2" t="inlineStr">
        <is>
          <t>End</t>
        </is>
      </c>
      <c r="Q89" s="2" t="inlineStr">
        <is>
          <t>Config action 60 (revision 19).</t>
        </is>
      </c>
      <c r="R89" s="2" t="inlineStr"/>
      <c r="S89" s="3" t="inlineStr">
        <is>
          <t>VERIFIED (config)</t>
        </is>
      </c>
    </row>
    <row r="90">
      <c r="A90" s="2" t="inlineStr">
        <is>
          <t>Standalone Marketing | Monthly Performance Reviews | Marketing Services (UPDATED)</t>
        </is>
      </c>
      <c r="B90" s="2" t="inlineStr">
        <is>
          <t>1892197644</t>
        </is>
      </c>
      <c r="C90" s="2" t="inlineStr">
        <is>
          <t>End</t>
        </is>
      </c>
      <c r="D90" s="2">
        <f> false &gt; = Not Assigned</f>
        <v/>
      </c>
      <c r="E90" s="2" t="inlineStr">
        <is>
          <t>-</t>
        </is>
      </c>
      <c r="F90" s="2" t="inlineStr">
        <is>
          <t>End</t>
        </is>
      </c>
      <c r="G90" s="2" t="inlineStr">
        <is>
          <t>End of workflow</t>
        </is>
      </c>
      <c r="H90" s="2" t="inlineStr">
        <is>
          <t>Workflow ends for this record.</t>
        </is>
      </c>
      <c r="I90" s="2" t="inlineStr">
        <is>
          <t>-</t>
        </is>
      </c>
      <c r="J90" s="2" t="inlineStr">
        <is>
          <t>-</t>
        </is>
      </c>
      <c r="K90" s="2" t="inlineStr">
        <is>
          <t>-</t>
        </is>
      </c>
      <c r="L90" s="2" t="inlineStr">
        <is>
          <t>-</t>
        </is>
      </c>
      <c r="M90" s="2">
        <f> false &gt; = Not Assigned</f>
        <v/>
      </c>
      <c r="N90" s="2" t="inlineStr">
        <is>
          <t>None</t>
        </is>
      </c>
      <c r="O90" s="2" t="inlineStr">
        <is>
          <t>Record leaves the workflow</t>
        </is>
      </c>
      <c r="P90" s="2" t="inlineStr">
        <is>
          <t>No in-scope workflow is triggered by this workflow.</t>
        </is>
      </c>
      <c r="Q90" s="2" t="inlineStr">
        <is>
          <t>Workflow config</t>
        </is>
      </c>
      <c r="R90" s="2" t="inlineStr"/>
      <c r="S90" s="3" t="inlineStr">
        <is>
          <t>VERIFIED (config)</t>
        </is>
      </c>
    </row>
  </sheetData>
  <autoFilter ref="A1:S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8" customWidth="1" min="3" max="3"/>
    <col width="40" customWidth="1" min="4" max="4"/>
    <col width="50" customWidth="1" min="5" max="5"/>
    <col width="24" customWidth="1" min="6" max="6"/>
    <col width="34" customWidth="1" min="7" max="7"/>
    <col width="34" customWidth="1" min="8" max="8"/>
    <col width="8" customWidth="1" min="9" max="9"/>
    <col width="8" customWidth="1" min="10" max="10"/>
    <col width="40" customWidth="1" min="11" max="11"/>
    <col width="60" customWidth="1" min="12" max="12"/>
    <col width="34" customWidth="1" min="13" max="13"/>
    <col width="26" customWidth="1" min="14" max="14"/>
    <col width="8" customWidth="1" min="15" max="15"/>
    <col width="50" customWidth="1" min="16" max="16"/>
    <col width="20" customWidth="1" min="17" max="17"/>
  </cols>
  <sheetData>
    <row r="1">
      <c r="A1" s="1" t="inlineStr">
        <is>
          <t>Workflow</t>
        </is>
      </c>
      <c r="B1" s="1" t="inlineStr">
        <is>
          <t>Workflow ID</t>
        </is>
      </c>
      <c r="C1" s="1" t="inlineStr">
        <is>
          <t>Action #</t>
        </is>
      </c>
      <c r="D1" s="1" t="inlineStr">
        <is>
          <t>Parent Task (config title)</t>
        </is>
      </c>
      <c r="E1" s="1" t="inlineStr">
        <is>
          <t>Subtask</t>
        </is>
      </c>
      <c r="F1" s="1" t="inlineStr">
        <is>
          <t>Conditions / Branch</t>
        </is>
      </c>
      <c r="G1" s="1" t="inlineStr">
        <is>
          <t>Owner (config)</t>
        </is>
      </c>
      <c r="H1" s="1" t="inlineStr">
        <is>
          <t>Due (config)</t>
        </is>
      </c>
      <c r="I1" s="1" t="inlineStr">
        <is>
          <t>Priority</t>
        </is>
      </c>
      <c r="J1" s="1" t="inlineStr">
        <is>
          <t>Type</t>
        </is>
      </c>
      <c r="K1" s="1" t="inlineStr">
        <is>
          <t>Associations (config)</t>
        </is>
      </c>
      <c r="L1" s="1" t="inlineStr">
        <is>
          <t>Notes (config)</t>
        </is>
      </c>
      <c r="M1" s="1" t="inlineStr">
        <is>
          <t>Owner (records)</t>
        </is>
      </c>
      <c r="N1" s="1" t="inlineStr">
        <is>
          <t>Due (records)</t>
        </is>
      </c>
      <c r="O1" s="1" t="inlineStr">
        <is>
          <t>Times Created</t>
        </is>
      </c>
      <c r="P1" s="1" t="inlineStr">
        <is>
          <t>Notes</t>
        </is>
      </c>
      <c r="Q1" s="1" t="inlineStr">
        <is>
          <t>Evidence Level</t>
        </is>
      </c>
    </row>
    <row r="2">
      <c r="A2" s="2" t="inlineStr">
        <is>
          <t>At Risk Monthly Performance Reviews | Marketing Services (UPDATED)</t>
        </is>
      </c>
      <c r="B2" s="2" t="inlineStr">
        <is>
          <t>1892165928</t>
        </is>
      </c>
      <c r="C2" s="2" t="n">
        <v>3</v>
      </c>
      <c r="D2" s="2" t="inlineStr">
        <is>
          <t>Marketing Performance Review</t>
        </is>
      </c>
      <c r="E2" s="2" t="inlineStr">
        <is>
          <t>-</t>
        </is>
      </c>
      <c r="F2" s="2">
        <f> true &gt; = Brock Hegr</f>
        <v/>
      </c>
      <c r="G2" s="2" t="inlineStr">
        <is>
          <t>Brock Hegr (fixed user)</t>
        </is>
      </c>
      <c r="H2" s="2" t="inlineStr">
        <is>
          <t>45 business day(s) after creation at 08:00 (US/Eastern)</t>
        </is>
      </c>
      <c r="I2" s="2" t="inlineStr">
        <is>
          <t>NONE</t>
        </is>
      </c>
      <c r="J2" s="2" t="inlineStr">
        <is>
          <t>TODO</t>
        </is>
      </c>
      <c r="K2" s="2" t="inlineStr">
        <is>
          <t>Company: the enrolled record; Ticket: copied from enrolled record's associations (Company -&gt; Ticket, label "Marketing")</t>
        </is>
      </c>
      <c r="L2"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 s="2" t="inlineStr">
        <is>
          <t>-</t>
        </is>
      </c>
      <c r="N2" s="2" t="inlineStr">
        <is>
          <t>-</t>
        </is>
      </c>
      <c r="O2" s="2" t="n">
        <v>0</v>
      </c>
      <c r="P2" s="2" t="inlineStr"/>
      <c r="Q2" s="3" t="inlineStr">
        <is>
          <t>VERIFIED (config)</t>
        </is>
      </c>
    </row>
    <row r="3">
      <c r="A3" s="2" t="inlineStr">
        <is>
          <t>At Risk Monthly Performance Reviews | Marketing Services (UPDATED)</t>
        </is>
      </c>
      <c r="B3" s="2" t="inlineStr">
        <is>
          <t>1892165928</t>
        </is>
      </c>
      <c r="C3" s="2" t="n">
        <v>5</v>
      </c>
      <c r="D3" s="2" t="inlineStr">
        <is>
          <t>Marketing Performance Review</t>
        </is>
      </c>
      <c r="E3" s="2" t="inlineStr">
        <is>
          <t>-</t>
        </is>
      </c>
      <c r="F3" s="2">
        <f> true &gt; = Sarah Schlosberg</f>
        <v/>
      </c>
      <c r="G3" s="2" t="inlineStr">
        <is>
          <t>Sarah Schlosberg (fixed user)</t>
        </is>
      </c>
      <c r="H3" s="2" t="inlineStr">
        <is>
          <t>45 business day(s) after creation at 08:00 (US/Eastern)</t>
        </is>
      </c>
      <c r="I3" s="2" t="inlineStr">
        <is>
          <t>NONE</t>
        </is>
      </c>
      <c r="J3" s="2" t="inlineStr">
        <is>
          <t>TODO</t>
        </is>
      </c>
      <c r="K3" s="2" t="inlineStr">
        <is>
          <t>Company: the enrolled record; Ticket: copied from enrolled record's associations (Company -&gt; Ticket, label "Marketing")</t>
        </is>
      </c>
      <c r="L3"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3" s="2" t="inlineStr">
        <is>
          <t>-</t>
        </is>
      </c>
      <c r="N3" s="2" t="inlineStr">
        <is>
          <t>-</t>
        </is>
      </c>
      <c r="O3" s="2" t="n">
        <v>0</v>
      </c>
      <c r="P3" s="2" t="inlineStr"/>
      <c r="Q3" s="3" t="inlineStr">
        <is>
          <t>VERIFIED (config)</t>
        </is>
      </c>
    </row>
    <row r="4">
      <c r="A4" s="2" t="inlineStr">
        <is>
          <t>At Risk Monthly Performance Reviews | Marketing Services (UPDATED)</t>
        </is>
      </c>
      <c r="B4" s="2" t="inlineStr">
        <is>
          <t>1892165928</t>
        </is>
      </c>
      <c r="C4" s="2" t="n">
        <v>7</v>
      </c>
      <c r="D4" s="2" t="inlineStr">
        <is>
          <t>Marketing Performance Review</t>
        </is>
      </c>
      <c r="E4" s="2" t="inlineStr">
        <is>
          <t>-</t>
        </is>
      </c>
      <c r="F4" s="2">
        <f> true &gt; = Mohammad Abudahab</f>
        <v/>
      </c>
      <c r="G4" s="2" t="inlineStr">
        <is>
          <t>Mohammad Abudahab (fixed user)</t>
        </is>
      </c>
      <c r="H4" s="2" t="inlineStr">
        <is>
          <t>45 business day(s) after creation at 08:00 (US/Eastern)</t>
        </is>
      </c>
      <c r="I4" s="2" t="inlineStr">
        <is>
          <t>NONE</t>
        </is>
      </c>
      <c r="J4" s="2" t="inlineStr">
        <is>
          <t>TODO</t>
        </is>
      </c>
      <c r="K4" s="2" t="inlineStr">
        <is>
          <t>Company: the enrolled record; Ticket: copied from enrolled record's associations (Company -&gt; Ticket, label "Marketing")</t>
        </is>
      </c>
      <c r="L4"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4" s="2" t="inlineStr">
        <is>
          <t>-</t>
        </is>
      </c>
      <c r="N4" s="2" t="inlineStr">
        <is>
          <t>-</t>
        </is>
      </c>
      <c r="O4" s="2" t="n">
        <v>0</v>
      </c>
      <c r="P4" s="2" t="inlineStr"/>
      <c r="Q4" s="3" t="inlineStr">
        <is>
          <t>VERIFIED (config)</t>
        </is>
      </c>
    </row>
    <row r="5">
      <c r="A5" s="2" t="inlineStr">
        <is>
          <t>At Risk Monthly Performance Reviews | Marketing Services (UPDATED)</t>
        </is>
      </c>
      <c r="B5" s="2" t="inlineStr">
        <is>
          <t>1892165928</t>
        </is>
      </c>
      <c r="C5" s="2" t="n">
        <v>9</v>
      </c>
      <c r="D5" s="2" t="inlineStr">
        <is>
          <t>Marketing Performance Review</t>
        </is>
      </c>
      <c r="E5" s="2" t="inlineStr">
        <is>
          <t>-</t>
        </is>
      </c>
      <c r="F5" s="2">
        <f> true &gt; = Not Assigned</f>
        <v/>
      </c>
      <c r="G5" s="2" t="inlineStr">
        <is>
          <t>No owner set</t>
        </is>
      </c>
      <c r="H5" s="2" t="inlineStr">
        <is>
          <t>45 business day(s) after creation at 08:00 (US/Eastern)</t>
        </is>
      </c>
      <c r="I5" s="2" t="inlineStr">
        <is>
          <t>NONE</t>
        </is>
      </c>
      <c r="J5" s="2" t="inlineStr">
        <is>
          <t>TODO</t>
        </is>
      </c>
      <c r="K5" s="2" t="inlineStr">
        <is>
          <t>Company: the enrolled record; Ticket: copied from enrolled record's associations (Company -&gt; Ticket, label "Marketing")</t>
        </is>
      </c>
      <c r="L5"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5" s="2" t="inlineStr">
        <is>
          <t>-</t>
        </is>
      </c>
      <c r="N5" s="2" t="inlineStr">
        <is>
          <t>-</t>
        </is>
      </c>
      <c r="O5" s="2" t="n">
        <v>0</v>
      </c>
      <c r="P5" s="2" t="inlineStr"/>
      <c r="Q5" s="3" t="inlineStr">
        <is>
          <t>VERIFIED (config)</t>
        </is>
      </c>
    </row>
    <row r="6">
      <c r="A6" s="2" t="inlineStr">
        <is>
          <t>At Risk Monthly Performance Reviews | Marketing Services (UPDATED)</t>
        </is>
      </c>
      <c r="B6" s="2" t="inlineStr">
        <is>
          <t>1892165928</t>
        </is>
      </c>
      <c r="C6" s="2" t="n">
        <v>12</v>
      </c>
      <c r="D6" s="2" t="inlineStr">
        <is>
          <t>Marketing Performance Review</t>
        </is>
      </c>
      <c r="E6" s="2" t="inlineStr">
        <is>
          <t>-</t>
        </is>
      </c>
      <c r="F6" s="2">
        <f> false &gt; = Brock Hegr</f>
        <v/>
      </c>
      <c r="G6" s="2" t="inlineStr">
        <is>
          <t>Brock Hegr (fixed user)</t>
        </is>
      </c>
      <c r="H6" s="2" t="inlineStr">
        <is>
          <t>45 business day(s) after creation at 08:00 (US/Eastern)</t>
        </is>
      </c>
      <c r="I6" s="2" t="inlineStr">
        <is>
          <t>NONE</t>
        </is>
      </c>
      <c r="J6" s="2" t="inlineStr">
        <is>
          <t>TODO</t>
        </is>
      </c>
      <c r="K6" s="2" t="inlineStr">
        <is>
          <t>Company: the enrolled record; Ticket: copied from enrolled record's associations (Company -&gt; Ticket, label "Marketing")</t>
        </is>
      </c>
      <c r="L6"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6" s="2" t="inlineStr">
        <is>
          <t>-</t>
        </is>
      </c>
      <c r="N6" s="2" t="inlineStr">
        <is>
          <t>-</t>
        </is>
      </c>
      <c r="O6" s="2" t="n">
        <v>0</v>
      </c>
      <c r="P6" s="2" t="inlineStr"/>
      <c r="Q6" s="3" t="inlineStr">
        <is>
          <t>VERIFIED (config)</t>
        </is>
      </c>
    </row>
    <row r="7">
      <c r="A7" s="2" t="inlineStr">
        <is>
          <t>At Risk Monthly Performance Reviews | Marketing Services (UPDATED)</t>
        </is>
      </c>
      <c r="B7" s="2" t="inlineStr">
        <is>
          <t>1892165928</t>
        </is>
      </c>
      <c r="C7" s="2" t="n">
        <v>14</v>
      </c>
      <c r="D7" s="2" t="inlineStr">
        <is>
          <t>Marketing Performance Review</t>
        </is>
      </c>
      <c r="E7" s="2" t="inlineStr">
        <is>
          <t>-</t>
        </is>
      </c>
      <c r="F7" s="2">
        <f> false &gt; = Sarah Schlosberg</f>
        <v/>
      </c>
      <c r="G7" s="2" t="inlineStr">
        <is>
          <t>Sarah Schlosberg (fixed user)</t>
        </is>
      </c>
      <c r="H7" s="2" t="inlineStr">
        <is>
          <t>45 business day(s) after creation at 08:00 (US/Eastern)</t>
        </is>
      </c>
      <c r="I7" s="2" t="inlineStr">
        <is>
          <t>NONE</t>
        </is>
      </c>
      <c r="J7" s="2" t="inlineStr">
        <is>
          <t>TODO</t>
        </is>
      </c>
      <c r="K7" s="2" t="inlineStr">
        <is>
          <t>Company: the enrolled record; Ticket: copied from enrolled record's associations (Company -&gt; Ticket, label "Marketing")</t>
        </is>
      </c>
      <c r="L7"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7" s="2" t="inlineStr">
        <is>
          <t>-</t>
        </is>
      </c>
      <c r="N7" s="2" t="inlineStr">
        <is>
          <t>-</t>
        </is>
      </c>
      <c r="O7" s="2" t="n">
        <v>0</v>
      </c>
      <c r="P7" s="2" t="inlineStr"/>
      <c r="Q7" s="3" t="inlineStr">
        <is>
          <t>VERIFIED (config)</t>
        </is>
      </c>
    </row>
    <row r="8">
      <c r="A8" s="2" t="inlineStr">
        <is>
          <t>At Risk Monthly Performance Reviews | Marketing Services (UPDATED)</t>
        </is>
      </c>
      <c r="B8" s="2" t="inlineStr">
        <is>
          <t>1892165928</t>
        </is>
      </c>
      <c r="C8" s="2" t="n">
        <v>16</v>
      </c>
      <c r="D8" s="2" t="inlineStr">
        <is>
          <t>Marketing Performance Review</t>
        </is>
      </c>
      <c r="E8" s="2" t="inlineStr">
        <is>
          <t>-</t>
        </is>
      </c>
      <c r="F8" s="2">
        <f> false &gt; = Mohammad Abudahab</f>
        <v/>
      </c>
      <c r="G8" s="2" t="inlineStr">
        <is>
          <t>Mohammad Abudahab (fixed user)</t>
        </is>
      </c>
      <c r="H8" s="2" t="inlineStr">
        <is>
          <t>45 business day(s) after creation at 08:00 (US/Eastern)</t>
        </is>
      </c>
      <c r="I8" s="2" t="inlineStr">
        <is>
          <t>NONE</t>
        </is>
      </c>
      <c r="J8" s="2" t="inlineStr">
        <is>
          <t>TODO</t>
        </is>
      </c>
      <c r="K8" s="2" t="inlineStr">
        <is>
          <t>Company: the enrolled record; Ticket: copied from enrolled record's associations (Company -&gt; Ticket, label "Marketing")</t>
        </is>
      </c>
      <c r="L8"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8" s="2" t="inlineStr">
        <is>
          <t>-</t>
        </is>
      </c>
      <c r="N8" s="2" t="inlineStr">
        <is>
          <t>-</t>
        </is>
      </c>
      <c r="O8" s="2" t="n">
        <v>0</v>
      </c>
      <c r="P8" s="2" t="inlineStr"/>
      <c r="Q8" s="3" t="inlineStr">
        <is>
          <t>VERIFIED (config)</t>
        </is>
      </c>
    </row>
    <row r="9">
      <c r="A9" s="2" t="inlineStr">
        <is>
          <t>At Risk Monthly Performance Reviews | Marketing Services (UPDATED)</t>
        </is>
      </c>
      <c r="B9" s="2" t="inlineStr">
        <is>
          <t>1892165928</t>
        </is>
      </c>
      <c r="C9" s="2" t="n">
        <v>18</v>
      </c>
      <c r="D9" s="2" t="inlineStr">
        <is>
          <t>Marketing Performance Review</t>
        </is>
      </c>
      <c r="E9" s="2" t="inlineStr">
        <is>
          <t>-</t>
        </is>
      </c>
      <c r="F9" s="2">
        <f> false &gt; = Not Assigned</f>
        <v/>
      </c>
      <c r="G9" s="2" t="inlineStr">
        <is>
          <t>No owner set</t>
        </is>
      </c>
      <c r="H9" s="2" t="inlineStr">
        <is>
          <t>45 business day(s) after creation at 08:00 (US/Eastern)</t>
        </is>
      </c>
      <c r="I9" s="2" t="inlineStr">
        <is>
          <t>NONE</t>
        </is>
      </c>
      <c r="J9" s="2" t="inlineStr">
        <is>
          <t>TODO</t>
        </is>
      </c>
      <c r="K9" s="2" t="inlineStr">
        <is>
          <t>Company: the enrolled record; Ticket: copied from enrolled record's associations (Company -&gt; Ticket, label "Marketing")</t>
        </is>
      </c>
      <c r="L9"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9" s="2" t="inlineStr">
        <is>
          <t>-</t>
        </is>
      </c>
      <c r="N9" s="2" t="inlineStr">
        <is>
          <t>-</t>
        </is>
      </c>
      <c r="O9" s="2" t="n">
        <v>0</v>
      </c>
      <c r="P9" s="2" t="inlineStr"/>
      <c r="Q9" s="3" t="inlineStr">
        <is>
          <t>VERIFIED (config)</t>
        </is>
      </c>
    </row>
    <row r="10">
      <c r="A10" s="2" t="inlineStr">
        <is>
          <t>Improving Monthly Performance Reviews | Marketing Services (UPDATED)</t>
        </is>
      </c>
      <c r="B10" s="2" t="inlineStr">
        <is>
          <t>1892196753</t>
        </is>
      </c>
      <c r="C10" s="2" t="n">
        <v>3</v>
      </c>
      <c r="D10" s="2" t="inlineStr">
        <is>
          <t>Marketing Performance Review</t>
        </is>
      </c>
      <c r="E10" s="2" t="inlineStr">
        <is>
          <t>-</t>
        </is>
      </c>
      <c r="F10" s="2">
        <f> true &gt; = Brock Hegr</f>
        <v/>
      </c>
      <c r="G10" s="2" t="inlineStr">
        <is>
          <t>Brock Hegr (fixed user)</t>
        </is>
      </c>
      <c r="H10" s="2" t="inlineStr">
        <is>
          <t>45 business day(s) after creation at 08:00 (US/Eastern)</t>
        </is>
      </c>
      <c r="I10" s="2" t="inlineStr">
        <is>
          <t>NONE</t>
        </is>
      </c>
      <c r="J10" s="2" t="inlineStr">
        <is>
          <t>TODO</t>
        </is>
      </c>
      <c r="K10" s="2" t="inlineStr">
        <is>
          <t>Company: the enrolled record; Ticket: copied from enrolled record's associations (Company -&gt; Ticket, label "Marketing")</t>
        </is>
      </c>
      <c r="L10"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0" s="2" t="inlineStr">
        <is>
          <t>-</t>
        </is>
      </c>
      <c r="N10" s="2" t="inlineStr">
        <is>
          <t>-</t>
        </is>
      </c>
      <c r="O10" s="2" t="n">
        <v>0</v>
      </c>
      <c r="P10" s="2" t="inlineStr"/>
      <c r="Q10" s="3" t="inlineStr">
        <is>
          <t>VERIFIED (config)</t>
        </is>
      </c>
    </row>
    <row r="11">
      <c r="A11" s="2" t="inlineStr">
        <is>
          <t>Improving Monthly Performance Reviews | Marketing Services (UPDATED)</t>
        </is>
      </c>
      <c r="B11" s="2" t="inlineStr">
        <is>
          <t>1892196753</t>
        </is>
      </c>
      <c r="C11" s="2" t="n">
        <v>5</v>
      </c>
      <c r="D11" s="2" t="inlineStr">
        <is>
          <t>Marketing Performance Review</t>
        </is>
      </c>
      <c r="E11" s="2" t="inlineStr">
        <is>
          <t>-</t>
        </is>
      </c>
      <c r="F11" s="2">
        <f> true &gt; = Sarah Schlosberg</f>
        <v/>
      </c>
      <c r="G11" s="2" t="inlineStr">
        <is>
          <t>Sarah Schlosberg (fixed user)</t>
        </is>
      </c>
      <c r="H11" s="2" t="inlineStr">
        <is>
          <t>45 business day(s) after creation at 08:00 (US/Eastern)</t>
        </is>
      </c>
      <c r="I11" s="2" t="inlineStr">
        <is>
          <t>NONE</t>
        </is>
      </c>
      <c r="J11" s="2" t="inlineStr">
        <is>
          <t>TODO</t>
        </is>
      </c>
      <c r="K11" s="2" t="inlineStr">
        <is>
          <t>Company: the enrolled record; Ticket: copied from enrolled record's associations (Company -&gt; Ticket, label "Marketing")</t>
        </is>
      </c>
      <c r="L11"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1" s="2" t="inlineStr">
        <is>
          <t>-</t>
        </is>
      </c>
      <c r="N11" s="2" t="inlineStr">
        <is>
          <t>-</t>
        </is>
      </c>
      <c r="O11" s="2" t="n">
        <v>0</v>
      </c>
      <c r="P11" s="2" t="inlineStr"/>
      <c r="Q11" s="3" t="inlineStr">
        <is>
          <t>VERIFIED (config)</t>
        </is>
      </c>
    </row>
    <row r="12">
      <c r="A12" s="2" t="inlineStr">
        <is>
          <t>Improving Monthly Performance Reviews | Marketing Services (UPDATED)</t>
        </is>
      </c>
      <c r="B12" s="2" t="inlineStr">
        <is>
          <t>1892196753</t>
        </is>
      </c>
      <c r="C12" s="2" t="n">
        <v>7</v>
      </c>
      <c r="D12" s="2" t="inlineStr">
        <is>
          <t>Marketing Performance Review</t>
        </is>
      </c>
      <c r="E12" s="2" t="inlineStr">
        <is>
          <t>-</t>
        </is>
      </c>
      <c r="F12" s="2">
        <f> true &gt; = Mohammad Abudahab</f>
        <v/>
      </c>
      <c r="G12" s="2" t="inlineStr">
        <is>
          <t>Mohammad Abudahab (fixed user)</t>
        </is>
      </c>
      <c r="H12" s="2" t="inlineStr">
        <is>
          <t>45 business day(s) after creation at 08:00 (US/Eastern)</t>
        </is>
      </c>
      <c r="I12" s="2" t="inlineStr">
        <is>
          <t>NONE</t>
        </is>
      </c>
      <c r="J12" s="2" t="inlineStr">
        <is>
          <t>TODO</t>
        </is>
      </c>
      <c r="K12" s="2" t="inlineStr">
        <is>
          <t>Company: the enrolled record; Ticket: copied from enrolled record's associations (Company -&gt; Ticket, label "Marketing")</t>
        </is>
      </c>
      <c r="L12"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2" s="2" t="inlineStr">
        <is>
          <t>-</t>
        </is>
      </c>
      <c r="N12" s="2" t="inlineStr">
        <is>
          <t>-</t>
        </is>
      </c>
      <c r="O12" s="2" t="n">
        <v>0</v>
      </c>
      <c r="P12" s="2" t="inlineStr"/>
      <c r="Q12" s="3" t="inlineStr">
        <is>
          <t>VERIFIED (config)</t>
        </is>
      </c>
    </row>
    <row r="13">
      <c r="A13" s="2" t="inlineStr">
        <is>
          <t>Improving Monthly Performance Reviews | Marketing Services (UPDATED)</t>
        </is>
      </c>
      <c r="B13" s="2" t="inlineStr">
        <is>
          <t>1892196753</t>
        </is>
      </c>
      <c r="C13" s="2" t="n">
        <v>9</v>
      </c>
      <c r="D13" s="2" t="inlineStr">
        <is>
          <t>Marketing Performance Review</t>
        </is>
      </c>
      <c r="E13" s="2" t="inlineStr">
        <is>
          <t>-</t>
        </is>
      </c>
      <c r="F13" s="2">
        <f> true &gt; = Not Assigned</f>
        <v/>
      </c>
      <c r="G13" s="2" t="inlineStr">
        <is>
          <t>No owner set</t>
        </is>
      </c>
      <c r="H13" s="2" t="inlineStr">
        <is>
          <t>45 business day(s) after creation at 08:00 (US/Eastern)</t>
        </is>
      </c>
      <c r="I13" s="2" t="inlineStr">
        <is>
          <t>NONE</t>
        </is>
      </c>
      <c r="J13" s="2" t="inlineStr">
        <is>
          <t>TODO</t>
        </is>
      </c>
      <c r="K13" s="2" t="inlineStr">
        <is>
          <t>Company: the enrolled record; Ticket: copied from enrolled record's associations (Company -&gt; Ticket, label "Marketing")</t>
        </is>
      </c>
      <c r="L13"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3" s="2" t="inlineStr">
        <is>
          <t>-</t>
        </is>
      </c>
      <c r="N13" s="2" t="inlineStr">
        <is>
          <t>-</t>
        </is>
      </c>
      <c r="O13" s="2" t="n">
        <v>0</v>
      </c>
      <c r="P13" s="2" t="inlineStr"/>
      <c r="Q13" s="3" t="inlineStr">
        <is>
          <t>VERIFIED (config)</t>
        </is>
      </c>
    </row>
    <row r="14">
      <c r="A14" s="2" t="inlineStr">
        <is>
          <t>Improving Monthly Performance Reviews | Marketing Services (UPDATED)</t>
        </is>
      </c>
      <c r="B14" s="2" t="inlineStr">
        <is>
          <t>1892196753</t>
        </is>
      </c>
      <c r="C14" s="2" t="n">
        <v>12</v>
      </c>
      <c r="D14" s="2" t="inlineStr">
        <is>
          <t>Marketing Performance Review</t>
        </is>
      </c>
      <c r="E14" s="2" t="inlineStr">
        <is>
          <t>-</t>
        </is>
      </c>
      <c r="F14" s="2">
        <f> false &gt; = Brock Hegr</f>
        <v/>
      </c>
      <c r="G14" s="2" t="inlineStr">
        <is>
          <t>Brock Hegr (fixed user)</t>
        </is>
      </c>
      <c r="H14" s="2" t="inlineStr">
        <is>
          <t>45 business day(s) after creation at 08:00 (US/Eastern)</t>
        </is>
      </c>
      <c r="I14" s="2" t="inlineStr">
        <is>
          <t>NONE</t>
        </is>
      </c>
      <c r="J14" s="2" t="inlineStr">
        <is>
          <t>TODO</t>
        </is>
      </c>
      <c r="K14" s="2" t="inlineStr">
        <is>
          <t>Company: the enrolled record; Ticket: copied from enrolled record's associations (Company -&gt; Ticket, label "Marketing")</t>
        </is>
      </c>
      <c r="L14"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4" s="2" t="inlineStr">
        <is>
          <t>-</t>
        </is>
      </c>
      <c r="N14" s="2" t="inlineStr">
        <is>
          <t>-</t>
        </is>
      </c>
      <c r="O14" s="2" t="n">
        <v>0</v>
      </c>
      <c r="P14" s="2" t="inlineStr"/>
      <c r="Q14" s="3" t="inlineStr">
        <is>
          <t>VERIFIED (config)</t>
        </is>
      </c>
    </row>
    <row r="15">
      <c r="A15" s="2" t="inlineStr">
        <is>
          <t>Improving Monthly Performance Reviews | Marketing Services (UPDATED)</t>
        </is>
      </c>
      <c r="B15" s="2" t="inlineStr">
        <is>
          <t>1892196753</t>
        </is>
      </c>
      <c r="C15" s="2" t="n">
        <v>14</v>
      </c>
      <c r="D15" s="2" t="inlineStr">
        <is>
          <t>Marketing Performance Review</t>
        </is>
      </c>
      <c r="E15" s="2" t="inlineStr">
        <is>
          <t>-</t>
        </is>
      </c>
      <c r="F15" s="2">
        <f> false &gt; = Sarah Schlosberg</f>
        <v/>
      </c>
      <c r="G15" s="2" t="inlineStr">
        <is>
          <t>Sarah Schlosberg (fixed user)</t>
        </is>
      </c>
      <c r="H15" s="2" t="inlineStr">
        <is>
          <t>45 business day(s) after creation at 08:00 (US/Eastern)</t>
        </is>
      </c>
      <c r="I15" s="2" t="inlineStr">
        <is>
          <t>NONE</t>
        </is>
      </c>
      <c r="J15" s="2" t="inlineStr">
        <is>
          <t>TODO</t>
        </is>
      </c>
      <c r="K15" s="2" t="inlineStr">
        <is>
          <t>Company: the enrolled record; Ticket: copied from enrolled record's associations (Company -&gt; Ticket, label "Marketing")</t>
        </is>
      </c>
      <c r="L15"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5" s="2" t="inlineStr">
        <is>
          <t>-</t>
        </is>
      </c>
      <c r="N15" s="2" t="inlineStr">
        <is>
          <t>-</t>
        </is>
      </c>
      <c r="O15" s="2" t="n">
        <v>0</v>
      </c>
      <c r="P15" s="2" t="inlineStr"/>
      <c r="Q15" s="3" t="inlineStr">
        <is>
          <t>VERIFIED (config)</t>
        </is>
      </c>
    </row>
    <row r="16">
      <c r="A16" s="2" t="inlineStr">
        <is>
          <t>Improving Monthly Performance Reviews | Marketing Services (UPDATED)</t>
        </is>
      </c>
      <c r="B16" s="2" t="inlineStr">
        <is>
          <t>1892196753</t>
        </is>
      </c>
      <c r="C16" s="2" t="n">
        <v>16</v>
      </c>
      <c r="D16" s="2" t="inlineStr">
        <is>
          <t>Marketing Performance Review</t>
        </is>
      </c>
      <c r="E16" s="2" t="inlineStr">
        <is>
          <t>-</t>
        </is>
      </c>
      <c r="F16" s="2">
        <f> false &gt; = Mohammad Abudahab</f>
        <v/>
      </c>
      <c r="G16" s="2" t="inlineStr">
        <is>
          <t>Mohammad Abudahab (fixed user)</t>
        </is>
      </c>
      <c r="H16" s="2" t="inlineStr">
        <is>
          <t>45 business day(s) after creation at 08:00 (US/Eastern)</t>
        </is>
      </c>
      <c r="I16" s="2" t="inlineStr">
        <is>
          <t>NONE</t>
        </is>
      </c>
      <c r="J16" s="2" t="inlineStr">
        <is>
          <t>TODO</t>
        </is>
      </c>
      <c r="K16" s="2" t="inlineStr">
        <is>
          <t>Company: the enrolled record; Ticket: copied from enrolled record's associations (Company -&gt; Ticket, label "Marketing")</t>
        </is>
      </c>
      <c r="L16"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6" s="2" t="inlineStr">
        <is>
          <t>-</t>
        </is>
      </c>
      <c r="N16" s="2" t="inlineStr">
        <is>
          <t>-</t>
        </is>
      </c>
      <c r="O16" s="2" t="n">
        <v>0</v>
      </c>
      <c r="P16" s="2" t="inlineStr"/>
      <c r="Q16" s="3" t="inlineStr">
        <is>
          <t>VERIFIED (config)</t>
        </is>
      </c>
    </row>
    <row r="17">
      <c r="A17" s="2" t="inlineStr">
        <is>
          <t>Improving Monthly Performance Reviews | Marketing Services (UPDATED)</t>
        </is>
      </c>
      <c r="B17" s="2" t="inlineStr">
        <is>
          <t>1892196753</t>
        </is>
      </c>
      <c r="C17" s="2" t="n">
        <v>18</v>
      </c>
      <c r="D17" s="2" t="inlineStr">
        <is>
          <t>Marketing Performance Review</t>
        </is>
      </c>
      <c r="E17" s="2" t="inlineStr">
        <is>
          <t>-</t>
        </is>
      </c>
      <c r="F17" s="2">
        <f> false &gt; = Not Assigned</f>
        <v/>
      </c>
      <c r="G17" s="2" t="inlineStr">
        <is>
          <t>No owner set</t>
        </is>
      </c>
      <c r="H17" s="2" t="inlineStr">
        <is>
          <t>45 business day(s) after creation at 08:00 (US/Eastern)</t>
        </is>
      </c>
      <c r="I17" s="2" t="inlineStr">
        <is>
          <t>NONE</t>
        </is>
      </c>
      <c r="J17" s="2" t="inlineStr">
        <is>
          <t>TODO</t>
        </is>
      </c>
      <c r="K17" s="2" t="inlineStr">
        <is>
          <t>Company: the enrolled record; Ticket: copied from enrolled record's associations (Company -&gt; Ticket, label "Marketing")</t>
        </is>
      </c>
      <c r="L17"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7" s="2" t="inlineStr">
        <is>
          <t>-</t>
        </is>
      </c>
      <c r="N17" s="2" t="inlineStr">
        <is>
          <t>-</t>
        </is>
      </c>
      <c r="O17" s="2" t="n">
        <v>0</v>
      </c>
      <c r="P17" s="2" t="inlineStr"/>
      <c r="Q17" s="3" t="inlineStr">
        <is>
          <t>VERIFIED (config)</t>
        </is>
      </c>
    </row>
    <row r="18">
      <c r="A18" s="2" t="inlineStr">
        <is>
          <t>Standalone Marketing | Monthly Performance Reviews | Marketing Services (UPDATED)</t>
        </is>
      </c>
      <c r="B18" s="2" t="inlineStr">
        <is>
          <t>1892197644</t>
        </is>
      </c>
      <c r="C18" s="2" t="n">
        <v>3</v>
      </c>
      <c r="D18" s="2" t="inlineStr">
        <is>
          <t>Marketing Performance Review</t>
        </is>
      </c>
      <c r="E18" s="2" t="inlineStr">
        <is>
          <t>-</t>
        </is>
      </c>
      <c r="F18" s="2">
        <f> true &gt; = Brock Hegr</f>
        <v/>
      </c>
      <c r="G18" s="2" t="inlineStr">
        <is>
          <t>Brock Hegr (fixed user)</t>
        </is>
      </c>
      <c r="H18" s="2" t="inlineStr">
        <is>
          <t>45 business day(s) after creation at 08:00 (US/Eastern)</t>
        </is>
      </c>
      <c r="I18" s="2" t="inlineStr">
        <is>
          <t>NONE</t>
        </is>
      </c>
      <c r="J18" s="2" t="inlineStr">
        <is>
          <t>TODO</t>
        </is>
      </c>
      <c r="K18" s="2" t="inlineStr">
        <is>
          <t>Company: the enrolled record; Ticket: copied from enrolled record's associations (Company -&gt; Ticket, label "Marketing")</t>
        </is>
      </c>
      <c r="L18"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8" s="2" t="inlineStr">
        <is>
          <t>-</t>
        </is>
      </c>
      <c r="N18" s="2" t="inlineStr">
        <is>
          <t>-</t>
        </is>
      </c>
      <c r="O18" s="2" t="n">
        <v>0</v>
      </c>
      <c r="P18" s="2" t="inlineStr"/>
      <c r="Q18" s="3" t="inlineStr">
        <is>
          <t>VERIFIED (config)</t>
        </is>
      </c>
    </row>
    <row r="19">
      <c r="A19" s="2" t="inlineStr">
        <is>
          <t>Standalone Marketing | Monthly Performance Reviews | Marketing Services (UPDATED)</t>
        </is>
      </c>
      <c r="B19" s="2" t="inlineStr">
        <is>
          <t>1892197644</t>
        </is>
      </c>
      <c r="C19" s="2" t="n">
        <v>5</v>
      </c>
      <c r="D19" s="2" t="inlineStr">
        <is>
          <t>Marketing Performance Review</t>
        </is>
      </c>
      <c r="E19" s="2" t="inlineStr">
        <is>
          <t>-</t>
        </is>
      </c>
      <c r="F19" s="2">
        <f> true &gt; = Sarah Schlosberg</f>
        <v/>
      </c>
      <c r="G19" s="2" t="inlineStr">
        <is>
          <t>Sarah Schlosberg (fixed user)</t>
        </is>
      </c>
      <c r="H19" s="2" t="inlineStr">
        <is>
          <t>45 business day(s) after creation at 08:00 (US/Eastern)</t>
        </is>
      </c>
      <c r="I19" s="2" t="inlineStr">
        <is>
          <t>NONE</t>
        </is>
      </c>
      <c r="J19" s="2" t="inlineStr">
        <is>
          <t>TODO</t>
        </is>
      </c>
      <c r="K19" s="2" t="inlineStr">
        <is>
          <t>Company: the enrolled record; Ticket: copied from enrolled record's associations (Company -&gt; Ticket, label "Marketing")</t>
        </is>
      </c>
      <c r="L19"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19" s="2" t="inlineStr">
        <is>
          <t>-</t>
        </is>
      </c>
      <c r="N19" s="2" t="inlineStr">
        <is>
          <t>-</t>
        </is>
      </c>
      <c r="O19" s="2" t="n">
        <v>0</v>
      </c>
      <c r="P19" s="2" t="inlineStr"/>
      <c r="Q19" s="3" t="inlineStr">
        <is>
          <t>VERIFIED (config)</t>
        </is>
      </c>
    </row>
    <row r="20">
      <c r="A20" s="2" t="inlineStr">
        <is>
          <t>Standalone Marketing | Monthly Performance Reviews | Marketing Services (UPDATED)</t>
        </is>
      </c>
      <c r="B20" s="2" t="inlineStr">
        <is>
          <t>1892197644</t>
        </is>
      </c>
      <c r="C20" s="2" t="n">
        <v>7</v>
      </c>
      <c r="D20" s="2" t="inlineStr">
        <is>
          <t>Marketing Performance Review</t>
        </is>
      </c>
      <c r="E20" s="2" t="inlineStr">
        <is>
          <t>-</t>
        </is>
      </c>
      <c r="F20" s="2">
        <f> true &gt; = Mohammad Abudahab</f>
        <v/>
      </c>
      <c r="G20" s="2" t="inlineStr">
        <is>
          <t>Mohammad Abudahab (fixed user)</t>
        </is>
      </c>
      <c r="H20" s="2" t="inlineStr">
        <is>
          <t>45 business day(s) after creation at 08:00 (US/Eastern)</t>
        </is>
      </c>
      <c r="I20" s="2" t="inlineStr">
        <is>
          <t>NONE</t>
        </is>
      </c>
      <c r="J20" s="2" t="inlineStr">
        <is>
          <t>TODO</t>
        </is>
      </c>
      <c r="K20" s="2" t="inlineStr">
        <is>
          <t>Company: the enrolled record; Ticket: copied from enrolled record's associations (Company -&gt; Ticket, label "Marketing")</t>
        </is>
      </c>
      <c r="L20"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0" s="2" t="inlineStr">
        <is>
          <t>-</t>
        </is>
      </c>
      <c r="N20" s="2" t="inlineStr">
        <is>
          <t>-</t>
        </is>
      </c>
      <c r="O20" s="2" t="n">
        <v>0</v>
      </c>
      <c r="P20" s="2" t="inlineStr"/>
      <c r="Q20" s="3" t="inlineStr">
        <is>
          <t>VERIFIED (config)</t>
        </is>
      </c>
    </row>
    <row r="21">
      <c r="A21" s="2" t="inlineStr">
        <is>
          <t>Standalone Marketing | Monthly Performance Reviews | Marketing Services (UPDATED)</t>
        </is>
      </c>
      <c r="B21" s="2" t="inlineStr">
        <is>
          <t>1892197644</t>
        </is>
      </c>
      <c r="C21" s="2" t="n">
        <v>9</v>
      </c>
      <c r="D21" s="2" t="inlineStr">
        <is>
          <t>Marketing Performance Review</t>
        </is>
      </c>
      <c r="E21" s="2" t="inlineStr">
        <is>
          <t>-</t>
        </is>
      </c>
      <c r="F21" s="2">
        <f> true &gt; = Not Assigned</f>
        <v/>
      </c>
      <c r="G21" s="2" t="inlineStr">
        <is>
          <t>No owner set</t>
        </is>
      </c>
      <c r="H21" s="2" t="inlineStr">
        <is>
          <t>45 business day(s) after creation at 08:00 (US/Eastern)</t>
        </is>
      </c>
      <c r="I21" s="2" t="inlineStr">
        <is>
          <t>NONE</t>
        </is>
      </c>
      <c r="J21" s="2" t="inlineStr">
        <is>
          <t>TODO</t>
        </is>
      </c>
      <c r="K21" s="2" t="inlineStr">
        <is>
          <t>Company: the enrolled record; Ticket: copied from enrolled record's associations (Company -&gt; Ticket, label "Marketing")</t>
        </is>
      </c>
      <c r="L21"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1" s="2" t="inlineStr">
        <is>
          <t>-</t>
        </is>
      </c>
      <c r="N21" s="2" t="inlineStr">
        <is>
          <t>-</t>
        </is>
      </c>
      <c r="O21" s="2" t="n">
        <v>0</v>
      </c>
      <c r="P21" s="2" t="inlineStr"/>
      <c r="Q21" s="3" t="inlineStr">
        <is>
          <t>VERIFIED (config)</t>
        </is>
      </c>
    </row>
    <row r="22">
      <c r="A22" s="2" t="inlineStr">
        <is>
          <t>Standalone Marketing | Monthly Performance Reviews | Marketing Services (UPDATED)</t>
        </is>
      </c>
      <c r="B22" s="2" t="inlineStr">
        <is>
          <t>1892197644</t>
        </is>
      </c>
      <c r="C22" s="2" t="n">
        <v>12</v>
      </c>
      <c r="D22" s="2" t="inlineStr">
        <is>
          <t>Marketing Performance Review</t>
        </is>
      </c>
      <c r="E22" s="2" t="inlineStr">
        <is>
          <t>-</t>
        </is>
      </c>
      <c r="F22" s="2">
        <f> false &gt; = Brock Hegr</f>
        <v/>
      </c>
      <c r="G22" s="2" t="inlineStr">
        <is>
          <t>Brock Hegr (fixed user)</t>
        </is>
      </c>
      <c r="H22" s="2" t="inlineStr">
        <is>
          <t>45 business day(s) after creation at 08:00 (US/Eastern)</t>
        </is>
      </c>
      <c r="I22" s="2" t="inlineStr">
        <is>
          <t>NONE</t>
        </is>
      </c>
      <c r="J22" s="2" t="inlineStr">
        <is>
          <t>TODO</t>
        </is>
      </c>
      <c r="K22" s="2" t="inlineStr">
        <is>
          <t>Company: the enrolled record; Ticket: copied from enrolled record's associations (Company -&gt; Ticket, label "Marketing")</t>
        </is>
      </c>
      <c r="L22"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2" s="2" t="inlineStr">
        <is>
          <t>-</t>
        </is>
      </c>
      <c r="N22" s="2" t="inlineStr">
        <is>
          <t>-</t>
        </is>
      </c>
      <c r="O22" s="2" t="n">
        <v>0</v>
      </c>
      <c r="P22" s="2" t="inlineStr"/>
      <c r="Q22" s="3" t="inlineStr">
        <is>
          <t>VERIFIED (config)</t>
        </is>
      </c>
    </row>
    <row r="23">
      <c r="A23" s="2" t="inlineStr">
        <is>
          <t>Standalone Marketing | Monthly Performance Reviews | Marketing Services (UPDATED)</t>
        </is>
      </c>
      <c r="B23" s="2" t="inlineStr">
        <is>
          <t>1892197644</t>
        </is>
      </c>
      <c r="C23" s="2" t="n">
        <v>14</v>
      </c>
      <c r="D23" s="2" t="inlineStr">
        <is>
          <t>Marketing Performance Review</t>
        </is>
      </c>
      <c r="E23" s="2" t="inlineStr">
        <is>
          <t>-</t>
        </is>
      </c>
      <c r="F23" s="2">
        <f> false &gt; = Sarah Schlosberg</f>
        <v/>
      </c>
      <c r="G23" s="2" t="inlineStr">
        <is>
          <t>Sarah Schlosberg (fixed user)</t>
        </is>
      </c>
      <c r="H23" s="2" t="inlineStr">
        <is>
          <t>45 business day(s) after creation at 08:00 (US/Eastern)</t>
        </is>
      </c>
      <c r="I23" s="2" t="inlineStr">
        <is>
          <t>NONE</t>
        </is>
      </c>
      <c r="J23" s="2" t="inlineStr">
        <is>
          <t>TODO</t>
        </is>
      </c>
      <c r="K23" s="2" t="inlineStr">
        <is>
          <t>Company: the enrolled record; Ticket: copied from enrolled record's associations (Company -&gt; Ticket, label "Marketing")</t>
        </is>
      </c>
      <c r="L23"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3" s="2" t="inlineStr">
        <is>
          <t>-</t>
        </is>
      </c>
      <c r="N23" s="2" t="inlineStr">
        <is>
          <t>-</t>
        </is>
      </c>
      <c r="O23" s="2" t="n">
        <v>0</v>
      </c>
      <c r="P23" s="2" t="inlineStr"/>
      <c r="Q23" s="3" t="inlineStr">
        <is>
          <t>VERIFIED (config)</t>
        </is>
      </c>
    </row>
    <row r="24">
      <c r="A24" s="2" t="inlineStr">
        <is>
          <t>Standalone Marketing | Monthly Performance Reviews | Marketing Services (UPDATED)</t>
        </is>
      </c>
      <c r="B24" s="2" t="inlineStr">
        <is>
          <t>1892197644</t>
        </is>
      </c>
      <c r="C24" s="2" t="n">
        <v>16</v>
      </c>
      <c r="D24" s="2" t="inlineStr">
        <is>
          <t>Marketing Performance Review</t>
        </is>
      </c>
      <c r="E24" s="2" t="inlineStr">
        <is>
          <t>-</t>
        </is>
      </c>
      <c r="F24" s="2">
        <f> false &gt; = Mohammad Abudahab</f>
        <v/>
      </c>
      <c r="G24" s="2" t="inlineStr">
        <is>
          <t>Mohammad Abudahab (fixed user)</t>
        </is>
      </c>
      <c r="H24" s="2" t="inlineStr">
        <is>
          <t>45 business day(s) after creation at 08:00 (US/Eastern)</t>
        </is>
      </c>
      <c r="I24" s="2" t="inlineStr">
        <is>
          <t>NONE</t>
        </is>
      </c>
      <c r="J24" s="2" t="inlineStr">
        <is>
          <t>TODO</t>
        </is>
      </c>
      <c r="K24" s="2" t="inlineStr">
        <is>
          <t>Company: the enrolled record; Ticket: copied from enrolled record's associations (Company -&gt; Ticket, label "Marketing")</t>
        </is>
      </c>
      <c r="L24"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4" s="2" t="inlineStr">
        <is>
          <t>-</t>
        </is>
      </c>
      <c r="N24" s="2" t="inlineStr">
        <is>
          <t>-</t>
        </is>
      </c>
      <c r="O24" s="2" t="n">
        <v>0</v>
      </c>
      <c r="P24" s="2" t="inlineStr"/>
      <c r="Q24" s="3" t="inlineStr">
        <is>
          <t>VERIFIED (config)</t>
        </is>
      </c>
    </row>
    <row r="25">
      <c r="A25" s="2" t="inlineStr">
        <is>
          <t>Standalone Marketing | Monthly Performance Reviews | Marketing Services (UPDATED)</t>
        </is>
      </c>
      <c r="B25" s="2" t="inlineStr">
        <is>
          <t>1892197644</t>
        </is>
      </c>
      <c r="C25" s="2" t="n">
        <v>18</v>
      </c>
      <c r="D25" s="2" t="inlineStr">
        <is>
          <t>Marketing Performance Review</t>
        </is>
      </c>
      <c r="E25" s="2" t="inlineStr">
        <is>
          <t>-</t>
        </is>
      </c>
      <c r="F25" s="2">
        <f> false &gt; = Not Assigned</f>
        <v/>
      </c>
      <c r="G25" s="2" t="inlineStr">
        <is>
          <t>No owner set</t>
        </is>
      </c>
      <c r="H25" s="2" t="inlineStr">
        <is>
          <t>45 business day(s) after creation at 08:00 (US/Eastern)</t>
        </is>
      </c>
      <c r="I25" s="2" t="inlineStr">
        <is>
          <t>NONE</t>
        </is>
      </c>
      <c r="J25" s="2" t="inlineStr">
        <is>
          <t>TODO</t>
        </is>
      </c>
      <c r="K25" s="2" t="inlineStr">
        <is>
          <t>Company: the enrolled record; Ticket: copied from enrolled record's associations (Company -&gt; Ticket, label "Marketing")</t>
        </is>
      </c>
      <c r="L25" s="2" t="inlineStr">
        <is>
          <t>How to complete it: 1. Work each subtask that applies. 2. Log your activity on the ticket. 3. Check that Berat's and Mohammad's parts are done. 4. Complete this task. Who does what: - Berat: Google Business Profile, SpareFoot, and the website content items. - Mohammad: Google Ads (PPC), on his own separate task. Note: Subtasks that aren't done will defer when this task is closed, and won't show as overdue.</t>
        </is>
      </c>
      <c r="M25" s="2" t="inlineStr">
        <is>
          <t>-</t>
        </is>
      </c>
      <c r="N25" s="2" t="inlineStr">
        <is>
          <t>-</t>
        </is>
      </c>
      <c r="O25" s="2" t="n">
        <v>0</v>
      </c>
      <c r="P25" s="2" t="inlineStr"/>
      <c r="Q25" s="3" t="inlineStr">
        <is>
          <t>VERIFIED (config)</t>
        </is>
      </c>
    </row>
  </sheetData>
  <autoFilter ref="A1:Q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9" customWidth="1" min="3" max="3"/>
    <col width="50" customWidth="1" min="4" max="4"/>
    <col width="60" customWidth="1" min="5" max="5"/>
    <col width="10" customWidth="1" min="6" max="6"/>
    <col width="26" customWidth="1" min="7" max="7"/>
    <col width="26" customWidth="1" min="8" max="8"/>
    <col width="60" customWidth="1" min="9" max="9"/>
    <col width="50" customWidth="1" min="10" max="10"/>
    <col width="50" customWidth="1" min="11" max="11"/>
  </cols>
  <sheetData>
    <row r="1">
      <c r="A1" s="1" t="inlineStr">
        <is>
          <t>Workflow Name</t>
        </is>
      </c>
      <c r="B1" s="1" t="inlineStr">
        <is>
          <t>Workflow ID</t>
        </is>
      </c>
      <c r="C1" s="1" t="inlineStr">
        <is>
          <t>Object</t>
        </is>
      </c>
      <c r="D1" s="1" t="inlineStr">
        <is>
          <t>Purpose / Observed Function</t>
        </is>
      </c>
      <c r="E1" s="1" t="inlineStr">
        <is>
          <t>Enrollment Trigger</t>
        </is>
      </c>
      <c r="F1" s="1" t="inlineStr">
        <is>
          <t>Re-enrollment</t>
        </is>
      </c>
      <c r="G1" s="1" t="inlineStr">
        <is>
          <t>Suppression</t>
        </is>
      </c>
      <c r="H1" s="1" t="inlineStr">
        <is>
          <t>Number of Actions</t>
        </is>
      </c>
      <c r="I1" s="1" t="inlineStr">
        <is>
          <t>Key Actions</t>
        </is>
      </c>
      <c r="J1" s="1" t="inlineStr">
        <is>
          <t>Related Workflows</t>
        </is>
      </c>
      <c r="K1" s="1" t="inlineStr">
        <is>
          <t>Notes</t>
        </is>
      </c>
    </row>
    <row r="2">
      <c r="A2" s="2" t="inlineStr">
        <is>
          <t>At Risk Monthly Performance Reviews | Marketing Services (UPDATED)</t>
        </is>
      </c>
      <c r="B2" s="2" t="inlineStr">
        <is>
          <t>1892165928</t>
        </is>
      </c>
      <c r="C2" s="2" t="inlineStr">
        <is>
          <t>Company</t>
        </is>
      </c>
      <c r="D2" s="2" t="inlineStr">
        <is>
          <t>Creates monthly marketing review tasks for at-risk customers with active PPC enrollment, assigning tasks to managers based on SpareFoot status and marketing portfolio manager.</t>
        </is>
      </c>
      <c r="E2" s="2" t="inlineStr">
        <is>
          <t>Records meet custom conditions (filter-based) - Customer Tier is any of Tier 2 - L2, Tier 2 - L1, Enterprise, Tier 3, Tier 1 AND Status is any of Live AND PPC Enrolled (Yes/No) is any of Yes AND Trend to Goal is any of At Risk</t>
        </is>
      </c>
      <c r="F2" s="2" t="inlineStr">
        <is>
          <t>ON</t>
        </is>
      </c>
      <c r="G2" s="2" t="inlineStr">
        <is>
          <t>None configured. Schedule: re-checked every month on day(s) 5 at 00:00</t>
        </is>
      </c>
      <c r="H2" s="2" t="inlineStr">
        <is>
          <t>19 (3 Branch on one property value, 8 Create task, 8 Delay)</t>
        </is>
      </c>
      <c r="I2" s="2" t="inlineStr">
        <is>
          <t>Branches on SpareFoot (Y/N): true; false; anything else -&gt; ends.; Creates task "Marketing Performance Review" for Brock Hegr, due 45 business day(s) after creation at 08:00.; Branches on Portfolio Mgr: Brock Hegr; Sarah Schlosberg; Mohammad Abudahab; Not Assigned; anything else -&gt; default branc; Branches on Portfolio Mgr: Brock Hegr; Sarah Schlosberg; Mohammad Abudahab; Not Assigned; anything else -&gt; default branc; Creates task "Marketing Performance Review" for Sarah Schlosberg, due 45 business day(s) after creation at 08:00.; Creates task "Marketing Performance Review" for Mohammad Abudahab, due 45 business day(s) after creation at 08:00.; Waits 64800 minutes (= 45 days).; Creates task "Marketing Performance Review" for No owner set, due 45 business day(s) after creation at 08:00.; Creates task "Marketing Performance Review" for Brock Hegr, due 45 business day(s) after creation at 08:00.; Creates task "Marketing Performance Review" for Sarah Schlosberg, due 45 business day(s) after creation at 08:00.; Creates task "Marketing Performance Review" for Mohammad Abudahab, due 45 business day(s) after creation at 08:00.; Waits 64800 minutes (= 45 days).; Creates task "Marketing Performance Review" for No owner set, due 45 business day(s) after creation at 08:00.; Waits 64800 minutes (= 45 days).; Waits 64800 minutes (= 45 days).; Waits 64800 minutes (= 45 days).; Waits 64800 minutes (= 45 days).; Waits 64800 minutes (= 45 days).; Waits 64800 minutes (= 45 days).</t>
        </is>
      </c>
      <c r="J2" s="2" t="inlineStr">
        <is>
          <t>None in scope</t>
        </is>
      </c>
      <c r="K2" s="2" t="inlineStr">
        <is>
          <t>ON; revision 94; created 2026-09-28; updated 2026-10-06; 0 tasks in records. https://app.hubspot.com/workflows/45059701/platform/flow/1892165928/edit</t>
        </is>
      </c>
    </row>
    <row r="3">
      <c r="A3" s="2" t="inlineStr">
        <is>
          <t>Improving Monthly Performance Reviews | Marketing Services (UPDATED)</t>
        </is>
      </c>
      <c r="B3" s="2" t="inlineStr">
        <is>
          <t>1892196753</t>
        </is>
      </c>
      <c r="C3" s="2" t="inlineStr">
        <is>
          <t>Company</t>
        </is>
      </c>
      <c r="D3" s="2" t="inlineStr">
        <is>
          <t>Creates monthly marketing review tasks on the 5th for active customers with improving trends and PPC enrollment, assigning tasks based on the assigned marketing manager.</t>
        </is>
      </c>
      <c r="E3" s="2" t="inlineStr">
        <is>
          <t>Records meet custom conditions (filter-based) - Customer Tier is any of Enterprise, Tier 2 - L1, Tier 1 AND Status is any of Live AND PPC Enrolled (Yes/No) is any of Yes AND Trend to Goal is any of Improving</t>
        </is>
      </c>
      <c r="F3" s="2" t="inlineStr">
        <is>
          <t>ON</t>
        </is>
      </c>
      <c r="G3" s="2" t="inlineStr">
        <is>
          <t>None configured. Schedule: re-checked every month on day(s) 5 at 00:00</t>
        </is>
      </c>
      <c r="H3" s="2" t="inlineStr">
        <is>
          <t>19 (8 Create task, 3 Branch on one property value, 8 Delay)</t>
        </is>
      </c>
      <c r="I3" s="2" t="inlineStr">
        <is>
          <t>Creates task "Marketing Performance Review" for Brock Hegr, due 45 business day(s) after creation at 08:00.; Branches on SpareFoot (Y/N): true; false; anything else -&gt; ends.; Branches on Portfolio Mgr: Brock Hegr; Sarah Schlosberg; Mohammad Abudahab; Not Assigned; anything else -&gt; default branc; Branches on Portfolio Mgr: Brock Hegr; Sarah Schlosberg; Mohammad Abudahab; Not Assigned; anything else -&gt; default branc; Waits 64800 minutes (= 45 days).; Creates task "Marketing Performance Review" for Sarah Schlosberg, due 45 business day(s) after creation at 08:00.; Waits 64800 minutes (= 45 days).; Creates task "Marketing Performance Review" for Mohammad Abudahab, due 45 business day(s) after creation at 08:00.; Waits 64800 minutes (= 45 days).; Creates task "Marketing Performance Review" for No owner set, due 45 business day(s) after creation at 08:00.; Waits 64800 minutes (= 45 days).; Creates task "Marketing Performance Review" for Brock Hegr, due 45 business day(s) after creation at 08:00.; Waits 64800 minutes (= 45 days).; Creates task "Marketing Performance Review" for Sarah Schlosberg, due 45 business day(s) after creation at 08:00.; Waits 64800 minutes (= 45 days).; Creates task "Marketing Performance Review" for Mohammad Abudahab, due 45 business day(s) after creation at 08:00.; Waits 64800 minutes (= 45 days).; Creates task "Marketing Performance Review" for No owner set, due 45 business day(s) after creation at 08:00.; Waits 64800 minutes (= 45 days).</t>
        </is>
      </c>
      <c r="J3" s="2" t="inlineStr">
        <is>
          <t>None in scope</t>
        </is>
      </c>
      <c r="K3" s="2" t="inlineStr">
        <is>
          <t>ON; revision 51; created 2026-09-28; updated 2026-10-06; 0 tasks in records. https://app.hubspot.com/workflows/45059701/platform/flow/1892196753/edit</t>
        </is>
      </c>
    </row>
    <row r="4">
      <c r="A4" s="2" t="inlineStr">
        <is>
          <t>Standalone Marketing | Monthly Performance Reviews | Marketing Services (UPDATED)</t>
        </is>
      </c>
      <c r="B4" s="2" t="inlineStr">
        <is>
          <t>1892197644</t>
        </is>
      </c>
      <c r="C4" s="2" t="inlineStr">
        <is>
          <t>Company</t>
        </is>
      </c>
      <c r="D4" s="2" t="inlineStr">
        <is>
          <t>Creates monthly marketing review tasks for at-risk customers with active PPC enrollment, assigning tasks to managers based on SpareFoot status and marketing portfolio manager.</t>
        </is>
      </c>
      <c r="E4" s="2" t="inlineStr">
        <is>
          <t>Records meet custom conditions (filter-based) - Standalone Services is any of Marketing AND Status is any of Live AND PPC Enrolled (Yes/No) is any of Yes</t>
        </is>
      </c>
      <c r="F4" s="2" t="inlineStr">
        <is>
          <t>ON</t>
        </is>
      </c>
      <c r="G4" s="2" t="inlineStr">
        <is>
          <t>None configured. Schedule: re-checked every month on day(s) 5 at 00:00</t>
        </is>
      </c>
      <c r="H4" s="2" t="inlineStr">
        <is>
          <t>19 (3 Branch on one property value, 8 Create task, 8 Delay)</t>
        </is>
      </c>
      <c r="I4" s="2" t="inlineStr">
        <is>
          <t>Branches on SpareFoot (Y/N): true; false; anything else -&gt; ends.; Creates task "Marketing Performance Review" for Brock Hegr, due 45 business day(s) after creation at 08:00.; Branches on Portfolio Mgr: Brock Hegr; Sarah Schlosberg; Mohammad Abudahab; Not Assigned; anything else -&gt; default branc; Branches on Portfolio Mgr: Brock Hegr; Sarah Schlosberg; Mohammad Abudahab; Not Assigned; anything else -&gt; ends.; Waits 64800 minutes (= 45 days).; Creates task "Marketing Performance Review" for Sarah Schlosberg, due 45 business day(s) after creation at 08:00.; Waits 64800 minutes (= 45 days).; Creates task "Marketing Performance Review" for Mohammad Abudahab, due 45 business day(s) after creation at 08:00.; Waits 64800 minutes (= 45 days).; Creates task "Marketing Performance Review" for No owner set, due 45 business day(s) after creation at 08:00.; Waits 64800 minutes (= 45 days).; Creates task "Marketing Performance Review" for Brock Hegr, due 45 business day(s) after creation at 08:00.; Waits 64800 minutes (= 45 days).; Creates task "Marketing Performance Review" for Sarah Schlosberg, due 45 business day(s) after creation at 08:00.; Waits 64800 minutes (= 45 days).; Creates task "Marketing Performance Review" for Mohammad Abudahab, due 45 business day(s) after creation at 08:00.; Waits 64800 minutes (= 45 days).; Creates task "Marketing Performance Review" for No owner set, due 45 business day(s) after creation at 08:00.; Waits 64800 minutes (= 45 days).</t>
        </is>
      </c>
      <c r="J4" s="2" t="inlineStr">
        <is>
          <t>None in scope</t>
        </is>
      </c>
      <c r="K4" s="2" t="inlineStr">
        <is>
          <t>ON; revision 19; created 2026-09-28; updated 2026-10-06; 0 tasks in records. https://app.hubspot.com/workflows/45059701/platform/flow/1892197644/edit</t>
        </is>
      </c>
    </row>
  </sheetData>
  <autoFilter ref="A1:K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18" customWidth="1" min="4" max="4"/>
    <col width="70" customWidth="1" min="5" max="5"/>
    <col width="60" customWidth="1" min="6" max="6"/>
    <col width="50" customWidth="1" min="7" max="7"/>
    <col width="46" customWidth="1" min="8" max="8"/>
    <col width="9" customWidth="1" min="9" max="9"/>
  </cols>
  <sheetData>
    <row r="1">
      <c r="A1" s="1" t="inlineStr">
        <is>
          <t>Finding #</t>
        </is>
      </c>
      <c r="B1" s="1" t="inlineStr">
        <is>
          <t>Classification</t>
        </is>
      </c>
      <c r="C1" s="1" t="inlineStr">
        <is>
          <t>Workflow</t>
        </is>
      </c>
      <c r="D1" s="1" t="inlineStr">
        <is>
          <t>Action #</t>
        </is>
      </c>
      <c r="E1" s="1" t="inlineStr">
        <is>
          <t>Finding</t>
        </is>
      </c>
      <c r="F1" s="1" t="inlineStr">
        <is>
          <t>Evidence</t>
        </is>
      </c>
      <c r="G1" s="1" t="inlineStr">
        <is>
          <t>Why It Matters</t>
        </is>
      </c>
      <c r="H1" s="1" t="inlineStr">
        <is>
          <t>Recommended Verification</t>
        </is>
      </c>
      <c r="I1" s="1" t="inlineStr">
        <is>
          <t>Status</t>
        </is>
      </c>
    </row>
    <row r="2">
      <c r="A2" s="2" t="inlineStr">
        <is>
          <t>F-01</t>
        </is>
      </c>
      <c r="B2" s="4" t="inlineStr">
        <is>
          <t>Confirmed</t>
        </is>
      </c>
      <c r="C2" s="2" t="inlineStr">
        <is>
          <t>All in scope</t>
        </is>
      </c>
      <c r="D2" s="2" t="inlineStr">
        <is>
          <t>Trigger</t>
        </is>
      </c>
      <c r="E2" s="2" t="inlineStr">
        <is>
          <t>Re-enrollment is ON for 3 and OFF for 0 workflows. ON: Standalone Marketing | Monthly Performance Reviews | Marketing Services (UPDATED), Improving Monthly Performance Reviews | Marketing Services (UPDATED), At Risk Monthly Performance Reviews | Marketing Services (UPDATED). Suppression is configured on 0.</t>
        </is>
      </c>
      <c r="F2" s="2" t="inlineStr">
        <is>
          <t>Config shouldReEnroll / suppression fields.</t>
        </is>
      </c>
      <c r="G2" s="2" t="inlineStr">
        <is>
          <t>With re-enroll OFF a record that meets the trigger again (e.g. returns to a stage) gets nothing new; with it ON it can get duplicates.</t>
        </is>
      </c>
      <c r="H2" s="2" t="inlineStr">
        <is>
          <t>Confirm each setting is intended.</t>
        </is>
      </c>
      <c r="I2" s="2" t="inlineStr">
        <is>
          <t>Open</t>
        </is>
      </c>
    </row>
    <row r="3">
      <c r="A3" s="2" t="inlineStr">
        <is>
          <t>F-02</t>
        </is>
      </c>
      <c r="B3" s="4" t="inlineStr">
        <is>
          <t>Confirmed</t>
        </is>
      </c>
      <c r="C3" s="2" t="inlineStr">
        <is>
          <t>All in scope</t>
        </is>
      </c>
      <c r="D3" s="2" t="inlineStr">
        <is>
          <t>Owner settings</t>
        </is>
      </c>
      <c r="E3" s="2" t="inlineStr">
        <is>
          <t>Tasks assigned to a fixed user: Brock Hegr (6 actions), Sarah Schlosberg (6 actions), Mohammad Abudahab (6 actions).</t>
        </is>
      </c>
      <c r="F3" s="2" t="inlineStr">
        <is>
          <t>Config owner_assignment = STATIC_VALUE.</t>
        </is>
      </c>
      <c r="G3" s="2" t="inlineStr">
        <is>
          <t>If a person leaves or changes role, tasks keep going to them until each action is edited.</t>
        </is>
      </c>
      <c r="H3" s="2" t="inlineStr">
        <is>
          <t>Review the list.</t>
        </is>
      </c>
      <c r="I3" s="2" t="inlineStr">
        <is>
          <t>Open</t>
        </is>
      </c>
    </row>
    <row r="4">
      <c r="A4" s="2" t="inlineStr">
        <is>
          <t>F-03</t>
        </is>
      </c>
      <c r="B4" s="4" t="inlineStr">
        <is>
          <t>Confirmed</t>
        </is>
      </c>
      <c r="C4" s="2" t="inlineStr">
        <is>
          <t>All three workflows</t>
        </is>
      </c>
      <c r="D4" s="2" t="inlineStr">
        <is>
          <t>Branch on SpareFoot (Y/N) (action 2)</t>
        </is>
      </c>
      <c r="E4" s="2" t="inlineStr">
        <is>
          <t>Both SpareFoot paths (true and false) create the same task: same title, body, owner per Portfolio Manager, queue, associations and due date. So the SpareFoot branch doesn't change the result. The branch also has no default path, so a company with SpareFoot (Y/N) empty would get no task at all.</t>
        </is>
      </c>
      <c r="F4" s="2" t="inlineStr">
        <is>
          <t>VERIFIED (config): action 2 STATIC_BRANCH on sparefoot__y_n_, branches true/false, no defaultBranch; one distinct task body per workflow across all 8 Create task actions. VERIFIED (records): all 93 companies that currently meet one of the three filters have SpareFoot set to true or false, so none are affected today.</t>
        </is>
      </c>
      <c r="G4" s="2" t="inlineStr">
        <is>
          <t>The branch makes the workflows twice as long without effect, and an empty SpareFoot value would quietly stop a review.</t>
        </is>
      </c>
      <c r="H4" s="2" t="inlineStr">
        <is>
          <t>Confirm whether SpareFoot was meant to change the task (e.g. a SpareFoot subtask). If not, confirm what should happen when SpareFoot is empty.</t>
        </is>
      </c>
      <c r="I4" s="2" t="inlineStr">
        <is>
          <t>Open</t>
        </is>
      </c>
    </row>
    <row r="5">
      <c r="A5" s="2" t="inlineStr">
        <is>
          <t>F-04</t>
        </is>
      </c>
      <c r="B5" s="4" t="inlineStr">
        <is>
          <t>Confirmed</t>
        </is>
      </c>
      <c r="C5" s="2" t="inlineStr">
        <is>
          <t>All three workflows</t>
        </is>
      </c>
      <c r="D5" s="2" t="inlineStr">
        <is>
          <t>"Not Assigned" and default paths (Standalone 51/59, Improving 27/35, At Risk 51/59)</t>
        </is>
      </c>
      <c r="E5" s="2" t="inlineStr">
        <is>
          <t>When the company's Marketing Portfolio Manager is "Not Assigned" (or empty, where a default path exists), the "Marketing Performance Review" task is created with no owner. It goes into the Marketing Services queue unassigned.</t>
        </is>
      </c>
      <c r="F5" s="2" t="inlineStr">
        <is>
          <t>VERIFIED (config): these Create task actions have no owner_assignment; queue_id 13519272. VERIFIED (records): 12 of the 69 companies that currently meet the At Risk filter would take these paths (10 with Portfolio Manager "Not Assigned", 2 with it empty).</t>
        </is>
      </c>
      <c r="G5" s="2" t="inlineStr">
        <is>
          <t>Unowned tasks only get worked if someone picks them up from the queue.</t>
        </is>
      </c>
      <c r="H5" s="2" t="inlineStr">
        <is>
          <t>Confirm that picking these up from the queue is the intended process, and who does it.</t>
        </is>
      </c>
      <c r="I5" s="2" t="inlineStr">
        <is>
          <t>Open</t>
        </is>
      </c>
    </row>
    <row r="6">
      <c r="A6" s="2" t="inlineStr">
        <is>
          <t>F-05</t>
        </is>
      </c>
      <c r="B6" s="5" t="inlineStr">
        <is>
          <t>Potential Issue</t>
        </is>
      </c>
      <c r="C6" s="2" t="inlineStr">
        <is>
          <t>All three workflows</t>
        </is>
      </c>
      <c r="D6" s="2" t="inlineStr">
        <is>
          <t>Enrollment schedule + final Delay on every path</t>
        </is>
      </c>
      <c r="E6" s="2" t="inlineStr">
        <is>
          <t>The workflows are scheduled to re-check companies monthly, on day 5 at 00:00. But every path ends with a 45-day Delay after the task is created. HubSpot does not re-enroll a record that is still in the workflow. So a company enrolled on the 5th is still waiting in the Delay on the next 5th (about 30 days later) and is skipped. This means reviews would come every other month, not monthly.</t>
        </is>
      </c>
      <c r="F6" s="2" t="inlineStr">
        <is>
          <t>VERIFIED (config): enrollmentSchedule = MONTHLY_SPECIFIC_DAYS, daysOfMonth [5]; shouldReEnroll = true with no re-enrollment triggers; Delay actions 64800 minutes (45 days): Standalone 23/48/50/52/54/56/58/60, Improving 13/23/25/28/30/32/34/36, At Risk 50/58/82/84/86/88/90/92. INFERENCE: HubSpot only re-enrolls records that are not currently enrolled.</t>
        </is>
      </c>
      <c r="G6" s="2" t="inlineStr">
        <is>
          <t>Companies may get a performance review every two months while the workflow names say monthly.</t>
        </is>
      </c>
      <c r="H6" s="2" t="inlineStr">
        <is>
          <t>After the 5 November run, open one company enrolled in October and check its workflow history for a second enrollment. Or confirm whether the 45-day Delay is meant to space reviews out.</t>
        </is>
      </c>
      <c r="I6" s="2" t="inlineStr">
        <is>
          <t>Open</t>
        </is>
      </c>
    </row>
    <row r="7">
      <c r="A7" s="2" t="inlineStr">
        <is>
          <t>F-06</t>
        </is>
      </c>
      <c r="B7" s="5" t="inlineStr">
        <is>
          <t>Potential Issue</t>
        </is>
      </c>
      <c r="C7" s="2" t="inlineStr">
        <is>
          <t>All three workflows</t>
        </is>
      </c>
      <c r="D7" s="2" t="inlineStr">
        <is>
          <t>All 24 Create task actions</t>
        </is>
      </c>
      <c r="E7" s="2" t="inlineStr">
        <is>
          <t>Each "Marketing Performance Review" task is due 45 business days after creation, at 08:00. That is about 9 weeks, for a review the workflow names call monthly.</t>
        </is>
      </c>
      <c r="F7" s="2" t="inlineStr">
        <is>
          <t>VERIFIED (config): due_time delta 45 DAYS, daysOfWeek Monday to Friday, timeOfDay 08:00, on every Create task action.</t>
        </is>
      </c>
      <c r="G7" s="2" t="inlineStr">
        <is>
          <t>The task won't show as overdue until well after the next month's review should have happened.</t>
        </is>
      </c>
      <c r="H7" s="2" t="inlineStr">
        <is>
          <t>Confirm the intended due date (e.g. 45 calendar days, or end of the month).</t>
        </is>
      </c>
      <c r="I7" s="2" t="inlineStr">
        <is>
          <t>Open</t>
        </is>
      </c>
    </row>
    <row r="8">
      <c r="A8" s="2" t="inlineStr">
        <is>
          <t>F-07</t>
        </is>
      </c>
      <c r="B8" s="5" t="inlineStr">
        <is>
          <t>Potential Issue</t>
        </is>
      </c>
      <c r="C8" s="2" t="inlineStr">
        <is>
          <t>Standalone Marketing | Monthly Performance Reviews | Marketing Services (UPDATED)</t>
        </is>
      </c>
      <c r="D8" s="2" t="inlineStr">
        <is>
          <t>Branch on Portfolio Mgr, SpareFoot = false path (action 16)</t>
        </is>
      </c>
      <c r="E8" s="2" t="inlineStr">
        <is>
          <t>In Standalone, the SpareFoot = false branch on Portfolio Manager (action 16) has no default path. If the Portfolio Manager is empty or is anyone other than Brock, Sarah, Mohammad or "Not Assigned", the company gets no task. Its SpareFoot = true twin (action 15) and both branches in At Risk and Improving send those companies to the "Not Assigned" task.</t>
        </is>
      </c>
      <c r="F8" s="2" t="inlineStr">
        <is>
          <t>VERIFIED (config): Standalone action 15 defaultBranch -&gt; action 51; action 16 defaultBranch = none. Improving actions 4/7 default -&gt; 27/35; At Risk actions 15/16 default -&gt; 51/59. VERIFIED (records): all 7 companies that currently meet the Standalone filter have SpareFoot = false and a Portfolio Manager of Sarah Schlosberg (6) or Brock Hegr (1), so none are affected today.</t>
        </is>
      </c>
      <c r="G8" s="2" t="inlineStr">
        <is>
          <t>A Standalone company whose Portfolio Manager is cleared or changed to someone new would stop getting reviews without anyone noticing.</t>
        </is>
      </c>
      <c r="H8" s="2" t="inlineStr">
        <is>
          <t>Confirm whether action 16 should have the same default path (to action 59) as action 15.</t>
        </is>
      </c>
      <c r="I8" s="2" t="inlineStr">
        <is>
          <t>Open</t>
        </is>
      </c>
    </row>
    <row r="9">
      <c r="A9" s="2" t="inlineStr">
        <is>
          <t>F-08</t>
        </is>
      </c>
      <c r="B9" s="5" t="inlineStr">
        <is>
          <t>Potential Issue</t>
        </is>
      </c>
      <c r="C9" s="2" t="inlineStr">
        <is>
          <t>Standalone Marketing | Monthly Performance Reviews | Marketing Services (UPDATED); At Risk Monthly Performance Reviews | Marketing Services (UPDATED)</t>
        </is>
      </c>
      <c r="D9" s="2" t="inlineStr">
        <is>
          <t>Trigger</t>
        </is>
      </c>
      <c r="E9" s="2" t="inlineStr">
        <is>
          <t>Climate Smart Self Storage (31201467651) currently meets both the Standalone filter and the At Risk filter. Nothing in either workflow excludes the other, so it can get two "Marketing Performance Review" tasks in the same cycle.</t>
        </is>
      </c>
      <c r="F9" s="2" t="inlineStr">
        <is>
          <t>VERIFIED (config): Standalone trigger = Standalone Services is Marketing AND Live AND PPC Enrolled Yes; At Risk trigger = Tier in list AND Live AND PPC Enrolled Yes AND Trend to Goal At Risk; no suppression on either. VERIFIED (records): company 31201467651 has Standalone Services = Marketing, Tier and Trend to Goal = At Risk.</t>
        </is>
      </c>
      <c r="G9" s="2" t="inlineStr">
        <is>
          <t>Duplicate review tasks for one company, possibly for two different owners.</t>
        </is>
      </c>
      <c r="H9" s="2" t="inlineStr">
        <is>
          <t>Confirm whether a Standalone Marketing company should ever also get the At Risk or Improving review.</t>
        </is>
      </c>
      <c r="I9" s="2" t="inlineStr">
        <is>
          <t>Open</t>
        </is>
      </c>
    </row>
    <row r="10">
      <c r="A10" s="2" t="inlineStr">
        <is>
          <t>F-09</t>
        </is>
      </c>
      <c r="B10" s="5" t="inlineStr">
        <is>
          <t>Potential Issue</t>
        </is>
      </c>
      <c r="C10" s="2" t="inlineStr">
        <is>
          <t>Improving Monthly Performance Reviews | Marketing Services (UPDATED); At Risk Monthly Performance Reviews | Marketing Services (UPDATED)</t>
        </is>
      </c>
      <c r="D10" s="2" t="inlineStr">
        <is>
          <t>Trigger</t>
        </is>
      </c>
      <c r="E10" s="2" t="inlineStr">
        <is>
          <t>2 companies meet the workflow's filter today but have no task from it at any date: A Affordable Storage Waxahachie (48889029662) in Improving, and Climate Smart Self Storage (31201467651) in At Risk.</t>
        </is>
      </c>
      <c r="F10" s="2" t="inlineStr">
        <is>
          <t>VERIFIED (records): company properties evaluated against the configured filter; no task from the workflow on either company. INFERENCE: the company's properties may have changed since the last scheduled run (5 October), in which case it will enroll on 5 November.</t>
        </is>
      </c>
      <c r="G10" s="2" t="inlineStr">
        <is>
          <t>The company may not be getting its review.</t>
        </is>
      </c>
      <c r="H10" s="2" t="inlineStr">
        <is>
          <t>Check each company's workflow history and the date its Trend to Goal / Tier / PPC value last changed.</t>
        </is>
      </c>
      <c r="I10" s="2" t="inlineStr">
        <is>
          <t>Open</t>
        </is>
      </c>
    </row>
    <row r="11">
      <c r="A11" s="2" t="inlineStr">
        <is>
          <t>F-10</t>
        </is>
      </c>
      <c r="B11" s="5" t="inlineStr">
        <is>
          <t>Potential Issue</t>
        </is>
      </c>
      <c r="C11" s="2" t="inlineStr">
        <is>
          <t>Standalone Marketing | Monthly Performance Reviews | Marketing Services (UPDATED)</t>
        </is>
      </c>
      <c r="D11" s="2" t="inlineStr">
        <is>
          <t>Workflow description</t>
        </is>
      </c>
      <c r="E11" s="2" t="inlineStr">
        <is>
          <t>The HubSpot description for Standalone says it is "for at-risk customers". It matches At Risk's description word for word. The trigger has no Trend to Goal filter: it enrolls Live, PPC-enrolled companies with Standalone Services = Marketing.</t>
        </is>
      </c>
      <c r="F11" s="2" t="inlineStr">
        <is>
          <t>VERIFIED (config): description field of 1892197644 vs its enrollmentCriteria.</t>
        </is>
      </c>
      <c r="G11" s="2" t="inlineStr">
        <is>
          <t>Documentation only. Anyone reading the description will misread who the workflow is for.</t>
        </is>
      </c>
      <c r="H11" s="2" t="inlineStr">
        <is>
          <t>Confirm the intended audience.</t>
        </is>
      </c>
      <c r="I11" s="2" t="inlineStr">
        <is>
          <t>Open</t>
        </is>
      </c>
    </row>
    <row r="12">
      <c r="A12" s="2" t="inlineStr">
        <is>
          <t>F-11</t>
        </is>
      </c>
      <c r="B12" s="6" t="inlineStr">
        <is>
          <t>Needs Verification</t>
        </is>
      </c>
      <c r="C12" s="2" t="inlineStr">
        <is>
          <t>Improving Monthly Performance Reviews | Marketing Services (UPDATED)</t>
        </is>
      </c>
      <c r="D12" s="2" t="inlineStr">
        <is>
          <t>Trigger</t>
        </is>
      </c>
      <c r="E12" s="2" t="inlineStr">
        <is>
          <t>Improving only takes Enterprise, Tier 1 and Tier 2 - L1, while At Risk also takes Tier 2 - L2 and Tier 3. 15 Live, PPC-enrolled companies with Trend to Goal = Improving are in Tier 2 - L2 or Tier 3, so none of the three workflows creates a review for them.</t>
        </is>
      </c>
      <c r="F12" s="2" t="inlineStr">
        <is>
          <t>VERIFIED (config): Improving customer_tier IS_ANY_OF Enterprise, TIER 2, TIER 1; At Risk adds Tier 2 - L2, TIER 3. VERIFIED (records): 15 companies, e.g. Crown Outdoor Storage 19578791467 (Tier 3), Raymond Clinton Mini Storage 38958261120 (Tier 2 - L2).</t>
        </is>
      </c>
      <c r="G12" s="2" t="inlineStr">
        <is>
          <t>If these tiers should get an Improving review, they currently get none.</t>
        </is>
      </c>
      <c r="H12" s="2" t="inlineStr">
        <is>
          <t>Confirm the tiers that should get the Improving review.</t>
        </is>
      </c>
      <c r="I12" s="2" t="inlineStr">
        <is>
          <t>Open</t>
        </is>
      </c>
    </row>
    <row r="13">
      <c r="A13" s="2" t="inlineStr">
        <is>
          <t>F-12</t>
        </is>
      </c>
      <c r="B13" s="6" t="inlineStr">
        <is>
          <t>Needs Verification</t>
        </is>
      </c>
      <c r="C13" s="2" t="inlineStr">
        <is>
          <t>All three workflows</t>
        </is>
      </c>
      <c r="D13" s="2" t="inlineStr">
        <is>
          <t>Subtasks / associations</t>
        </is>
      </c>
      <c r="E13" s="2" t="inlineStr">
        <is>
          <t>Team rule "subtasks are not linked to the ticket" can't be checked yet. Subtasks aren't in the workflow API, and no task has been created in the Marketing Services queue since 2026-10-06. The main task is linked to the company and, by design, to the ticket: the action copies the company's "Marketing" ticket association. The task body says the subtasks cover Berat's items (Google Business Profile, SpareFoot, website content). Their owners and links aren't visible in the configuration.</t>
        </is>
      </c>
      <c r="F13" s="2" t="inlineStr">
        <is>
          <t>VERIFIED (config): associations = ENROLLED_OBJECT (type 192, task to company) + COPY_ASSOCIATION from company-to-ticket label "Marketing" (USER_DEFINED 64) to task-to-ticket (type 230), on all 24 Create task actions. VERIFIED (records): 0 tasks in queue 13519272 since 2026-10-06.</t>
        </is>
      </c>
      <c r="G13" s="2" t="inlineStr">
        <is>
          <t>The team rule is that only main tasks are linked to the ticket.</t>
        </is>
      </c>
      <c r="H13" s="2" t="inlineStr">
        <is>
          <t>Send a screenshot of one Create task action's subtask settings, or re-run the audit after the 5 November run, when the records will show the subtasks' associations.</t>
        </is>
      </c>
      <c r="I13" s="2" t="inlineStr">
        <is>
          <t>Open</t>
        </is>
      </c>
    </row>
    <row r="14">
      <c r="A14" s="2" t="inlineStr">
        <is>
          <t>F-13</t>
        </is>
      </c>
      <c r="B14" s="6" t="inlineStr">
        <is>
          <t>Needs Verification</t>
        </is>
      </c>
      <c r="C14" s="2" t="inlineStr">
        <is>
          <t>All three workflows</t>
        </is>
      </c>
      <c r="D14" s="2" t="inlineStr">
        <is>
          <t>Create task actions</t>
        </is>
      </c>
      <c r="E14" s="2" t="inlineStr">
        <is>
          <t>All 24 Create task actions use queue ID 13519272. HubSpot doesn't return queue names through the API, so it isn't confirmed that this ID is the "Marketing Services" queue. (It differs from the Ops Tasks queue, 13519269.)</t>
        </is>
      </c>
      <c r="F14" s="2" t="inlineStr">
        <is>
          <t>VERIFIED (config): queue_id 13519272 on every Create task action.</t>
        </is>
      </c>
      <c r="G14" s="2" t="inlineStr">
        <is>
          <t>The "every task uses the Marketing Services queue" check (F-14) relies on this ID being that queue.</t>
        </is>
      </c>
      <c r="H14" s="2" t="inlineStr">
        <is>
          <t>Open the Marketing Services queue in HubSpot and confirm its ID is 13519272, then record it in teams.json.</t>
        </is>
      </c>
      <c r="I14" s="2" t="inlineStr">
        <is>
          <t>Open</t>
        </is>
      </c>
    </row>
    <row r="15">
      <c r="A15" s="2" t="inlineStr">
        <is>
          <t>F-14</t>
        </is>
      </c>
      <c r="B15" s="7" t="inlineStr">
        <is>
          <t>No Issue Found</t>
        </is>
      </c>
      <c r="C15" s="2" t="inlineStr">
        <is>
          <t>All in scope</t>
        </is>
      </c>
      <c r="D15" s="2" t="inlineStr">
        <is>
          <t>Create task actions</t>
        </is>
      </c>
      <c r="E15" s="2" t="inlineStr">
        <is>
          <t>Every Create task action in every in-scope workflow uses the team queue (13519272).</t>
        </is>
      </c>
      <c r="F15" s="2" t="inlineStr">
        <is>
          <t>Config queue_id on every Create task action.</t>
        </is>
      </c>
      <c r="G15" s="2" t="inlineStr">
        <is>
          <t>Confirms the rule.</t>
        </is>
      </c>
      <c r="H15" s="2" t="inlineStr">
        <is>
          <t>n/a</t>
        </is>
      </c>
      <c r="I15" s="2" t="inlineStr">
        <is>
          <t>Open</t>
        </is>
      </c>
    </row>
    <row r="16">
      <c r="A16" s="2" t="inlineStr">
        <is>
          <t>F-15</t>
        </is>
      </c>
      <c r="B16" s="7" t="inlineStr">
        <is>
          <t>No Issue Found</t>
        </is>
      </c>
      <c r="C16" s="2" t="inlineStr">
        <is>
          <t>All in scope</t>
        </is>
      </c>
      <c r="D16" s="2" t="inlineStr">
        <is>
          <t>Tasks</t>
        </is>
      </c>
      <c r="E16" s="2" t="inlineStr">
        <is>
          <t>No task has been created on or after 2026-10-06 by any in-scope workflow that is now switched off.</t>
        </is>
      </c>
      <c r="F16" s="2" t="inlineStr">
        <is>
          <t>Task records by workflow name, start date onward.</t>
        </is>
      </c>
      <c r="G16" s="2" t="inlineStr">
        <is>
          <t>Confirms the rule.</t>
        </is>
      </c>
      <c r="H16" s="2" t="inlineStr">
        <is>
          <t>n/a</t>
        </is>
      </c>
      <c r="I16" s="2" t="inlineStr">
        <is>
          <t>Open</t>
        </is>
      </c>
    </row>
    <row r="17">
      <c r="A17" s="2" t="inlineStr">
        <is>
          <t>F-16</t>
        </is>
      </c>
      <c r="B17" s="7" t="inlineStr">
        <is>
          <t>No Issue Found</t>
        </is>
      </c>
      <c r="C17" s="2" t="inlineStr">
        <is>
          <t>All in scope</t>
        </is>
      </c>
      <c r="D17" s="2" t="inlineStr">
        <is>
          <t>Tasks</t>
        </is>
      </c>
      <c r="E17" s="2" t="inlineStr">
        <is>
          <t>No company received the same task twice on the same day since 2026-10-06.</t>
        </is>
      </c>
      <c r="F17" s="2" t="inlineStr">
        <is>
          <t>Task records: company + task title + creation date.</t>
        </is>
      </c>
      <c r="G17" s="2" t="inlineStr">
        <is>
          <t>Confirms the rule.</t>
        </is>
      </c>
      <c r="H17" s="2" t="inlineStr">
        <is>
          <t>n/a</t>
        </is>
      </c>
      <c r="I17" s="2" t="inlineStr">
        <is>
          <t>Open</t>
        </is>
      </c>
    </row>
  </sheetData>
  <autoFilter ref="A1:I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2026-10-06T15:25:12Z</dcterms:created>
  <dcterms:modified xmlns:dcterms="http://purl.org/dc/terms/" xmlns:xsi="http://www.w3.org/2001/XMLSchema-instance" xsi:type="dcterms:W3CDTF">2026-10-06T15:25:12Z</dcterms:modified>
</cp:coreProperties>
</file>